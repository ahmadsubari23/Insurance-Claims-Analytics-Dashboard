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3.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drawings/drawing4.xml" ContentType="application/vnd.openxmlformats-officedocument.drawingml.chartshapes+xml"/>
  <Override PartName="/xl/charts/chart23.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7.xml" ContentType="application/vnd.openxmlformats-officedocument.drawingml.chartshapes+xml"/>
  <Override PartName="/xl/charts/chart30.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drawings/drawing10.xml" ContentType="application/vnd.openxmlformats-officedocument.drawingml.chartshapes+xml"/>
  <Override PartName="/xl/charts/chart37.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drawings/drawing15.xml" ContentType="application/vnd.openxmlformats-officedocument.drawingml.chartshapes+xml"/>
  <Override PartName="/xl/charts/chart51.xml" ContentType="application/vnd.openxmlformats-officedocument.drawingml.chart+xml"/>
  <Override PartName="/xl/drawings/drawing16.xml" ContentType="application/vnd.openxmlformats-officedocument.drawingml.chartshapes+xml"/>
  <Override PartName="/xl/drawings/drawing17.xml" ContentType="application/vnd.openxmlformats-officedocument.drawing+xml"/>
  <Override PartName="/xl/charts/chart52.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charlestaylorplc-my.sharepoint.com/personal/ahmad_subari_charlestaylor_com/Documents/Documents/Help/New folder/Insuance Data/Register Claim/"/>
    </mc:Choice>
  </mc:AlternateContent>
  <xr:revisionPtr revIDLastSave="2" documentId="11_022A3349F86645A204701F66A0D4B9DF21E044C0" xr6:coauthVersionLast="47" xr6:coauthVersionMax="47" xr10:uidLastSave="{8E0161EF-E5FD-4D81-9CD8-D6B1E6B6FD47}"/>
  <bookViews>
    <workbookView minimized="1" xWindow="2304" yWindow="2304" windowWidth="17280" windowHeight="8880" xr2:uid="{00000000-000D-0000-FFFF-FFFF00000000}"/>
  </bookViews>
  <sheets>
    <sheet name="Summary" sheetId="13" r:id="rId1"/>
    <sheet name="Fire" sheetId="8" r:id="rId2"/>
    <sheet name="Fire1" sheetId="14" r:id="rId3"/>
    <sheet name="Cargo" sheetId="9" r:id="rId4"/>
    <sheet name="Cargo1" sheetId="15" r:id="rId5"/>
    <sheet name="CPM" sheetId="7" r:id="rId6"/>
    <sheet name="CPM1" sheetId="16" r:id="rId7"/>
    <sheet name="Hull" sheetId="10" r:id="rId8"/>
    <sheet name="Hull1" sheetId="17" r:id="rId9"/>
    <sheet name="Casualty" sheetId="6" r:id="rId10"/>
    <sheet name="Casualty1" sheetId="18" r:id="rId11"/>
    <sheet name="Engineering" sheetId="11" r:id="rId12"/>
    <sheet name="Engineering1" sheetId="19" r:id="rId13"/>
    <sheet name="Ending" sheetId="21" r:id="rId14"/>
    <sheet name="Calculate" sheetId="12" state="hidden" r:id="rId15"/>
  </sheets>
  <externalReferences>
    <externalReference r:id="rId16"/>
    <externalReference r:id="rId17"/>
    <externalReference r:id="rId18"/>
    <externalReference r:id="rId19"/>
    <externalReference r:id="rId20"/>
    <externalReference r:id="rId21"/>
  </externalReferences>
  <definedNames>
    <definedName name="_xlnm.Print_Titles" localSheetId="2">Fire1!$3:$4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5" i="12" l="1"/>
  <c r="C44" i="12"/>
  <c r="C43" i="12"/>
  <c r="C42" i="12"/>
  <c r="C41" i="12"/>
  <c r="C40" i="12"/>
  <c r="D45" i="12"/>
  <c r="D44" i="12"/>
  <c r="D43" i="12"/>
  <c r="D42" i="12"/>
  <c r="D41" i="12"/>
  <c r="D40" i="12"/>
  <c r="E45" i="12"/>
  <c r="E44" i="12"/>
  <c r="E43" i="12"/>
  <c r="E42" i="12"/>
  <c r="E41" i="12"/>
  <c r="E40" i="12"/>
  <c r="D39" i="12"/>
  <c r="E39" i="12" s="1"/>
  <c r="I206" i="13" l="1"/>
  <c r="J97" i="9" l="1"/>
  <c r="R70" i="12"/>
  <c r="Q70" i="12"/>
  <c r="P70" i="12"/>
  <c r="O70" i="12"/>
  <c r="N70" i="12"/>
  <c r="M70" i="12"/>
  <c r="L70" i="12"/>
  <c r="K70" i="12"/>
  <c r="J169" i="7" s="1"/>
  <c r="J70" i="12"/>
  <c r="I169" i="7" s="1"/>
  <c r="I70" i="12"/>
  <c r="H169" i="7" s="1"/>
  <c r="H70" i="12"/>
  <c r="G169" i="7" s="1"/>
  <c r="G70" i="12"/>
  <c r="F169" i="7" s="1"/>
  <c r="F70" i="12"/>
  <c r="E169" i="7" s="1"/>
  <c r="E70" i="12"/>
  <c r="D169" i="7" s="1"/>
  <c r="D70" i="12"/>
  <c r="C169" i="7" s="1"/>
  <c r="C70" i="12"/>
  <c r="B169" i="7" s="1"/>
  <c r="G81" i="12"/>
  <c r="G80" i="12"/>
  <c r="G79" i="12"/>
  <c r="G78" i="12"/>
  <c r="R89" i="12"/>
  <c r="Q89" i="12"/>
  <c r="P89" i="12"/>
  <c r="O89" i="12"/>
  <c r="N89" i="12"/>
  <c r="M89" i="12"/>
  <c r="L89" i="12"/>
  <c r="K89" i="12"/>
  <c r="J89" i="12"/>
  <c r="I195" i="7" s="1"/>
  <c r="I89" i="12"/>
  <c r="H195" i="7" s="1"/>
  <c r="H89" i="12"/>
  <c r="G195" i="7" s="1"/>
  <c r="G89" i="12"/>
  <c r="F195" i="7" s="1"/>
  <c r="F89" i="12"/>
  <c r="E195" i="7" s="1"/>
  <c r="E89" i="12"/>
  <c r="D195" i="7" s="1"/>
  <c r="D89" i="12"/>
  <c r="C195" i="7" s="1"/>
  <c r="C89" i="12"/>
  <c r="B195" i="7" s="1"/>
  <c r="R90" i="12"/>
  <c r="Q90" i="12"/>
  <c r="P90" i="12"/>
  <c r="O90" i="12"/>
  <c r="N90" i="12"/>
  <c r="M90" i="12"/>
  <c r="L90" i="12"/>
  <c r="K90" i="12"/>
  <c r="J195" i="6" s="1"/>
  <c r="J90" i="12"/>
  <c r="I195" i="6" s="1"/>
  <c r="I90" i="12"/>
  <c r="H195" i="6" s="1"/>
  <c r="H90" i="12"/>
  <c r="G195" i="6" s="1"/>
  <c r="G90" i="12"/>
  <c r="F195" i="6" s="1"/>
  <c r="F90" i="12"/>
  <c r="E195" i="6" s="1"/>
  <c r="E90" i="12"/>
  <c r="D195" i="6" s="1"/>
  <c r="D90" i="12"/>
  <c r="C195" i="6" s="1"/>
  <c r="C90" i="12"/>
  <c r="B195" i="6" s="1"/>
  <c r="H81" i="12"/>
  <c r="H80" i="12"/>
  <c r="H79" i="12"/>
  <c r="H78" i="12"/>
  <c r="R71" i="12"/>
  <c r="Q71" i="12"/>
  <c r="P71" i="12"/>
  <c r="O71" i="12"/>
  <c r="N71" i="12"/>
  <c r="M71" i="12"/>
  <c r="L71" i="12"/>
  <c r="K71" i="12"/>
  <c r="J169" i="6" s="1"/>
  <c r="J71" i="12"/>
  <c r="I169" i="6" s="1"/>
  <c r="I71" i="12"/>
  <c r="H169" i="6" s="1"/>
  <c r="H71" i="12"/>
  <c r="G169" i="6" s="1"/>
  <c r="G71" i="12"/>
  <c r="F169" i="6" s="1"/>
  <c r="F71" i="12"/>
  <c r="E169" i="6" s="1"/>
  <c r="E71" i="12"/>
  <c r="D169" i="6" s="1"/>
  <c r="D71" i="12"/>
  <c r="C169" i="6" s="1"/>
  <c r="C71" i="12"/>
  <c r="R11" i="12"/>
  <c r="Q11" i="12"/>
  <c r="Q34" i="12" s="1"/>
  <c r="P11" i="12"/>
  <c r="P34" i="12" s="1"/>
  <c r="O11" i="12"/>
  <c r="O34" i="12" s="1"/>
  <c r="N11" i="12"/>
  <c r="M11" i="12"/>
  <c r="M34" i="12" s="1"/>
  <c r="L11" i="12"/>
  <c r="L34" i="12" s="1"/>
  <c r="K11" i="12"/>
  <c r="K34" i="12" s="1"/>
  <c r="J11" i="12"/>
  <c r="J34" i="12" s="1"/>
  <c r="I11" i="12"/>
  <c r="I34" i="12" s="1"/>
  <c r="H11" i="12"/>
  <c r="H34" i="12" s="1"/>
  <c r="G11" i="12"/>
  <c r="G34" i="12" s="1"/>
  <c r="F11" i="12"/>
  <c r="F34" i="12" s="1"/>
  <c r="E11" i="12"/>
  <c r="E34" i="12" s="1"/>
  <c r="D11" i="12"/>
  <c r="D34" i="12" s="1"/>
  <c r="C11" i="12"/>
  <c r="C34" i="12" s="1"/>
  <c r="R10" i="12"/>
  <c r="R23" i="12" s="1"/>
  <c r="Q10" i="12"/>
  <c r="P10" i="12"/>
  <c r="O10" i="12"/>
  <c r="N10" i="12"/>
  <c r="N23" i="12" s="1"/>
  <c r="M10" i="12"/>
  <c r="M23" i="12" s="1"/>
  <c r="L10" i="12"/>
  <c r="L23" i="12" s="1"/>
  <c r="K10" i="12"/>
  <c r="K23" i="12" s="1"/>
  <c r="J10" i="12"/>
  <c r="I70" i="6" s="1"/>
  <c r="I10" i="12"/>
  <c r="I23" i="12" s="1"/>
  <c r="H10" i="12"/>
  <c r="H23" i="12" s="1"/>
  <c r="G10" i="12"/>
  <c r="G23" i="12" s="1"/>
  <c r="F10" i="12"/>
  <c r="F23" i="12" s="1"/>
  <c r="E10" i="12"/>
  <c r="D10" i="12"/>
  <c r="C10" i="12"/>
  <c r="N34" i="12"/>
  <c r="R9" i="12"/>
  <c r="R33" i="12" s="1"/>
  <c r="Q9" i="12"/>
  <c r="Q33" i="12" s="1"/>
  <c r="P9" i="12"/>
  <c r="P33" i="12" s="1"/>
  <c r="O9" i="12"/>
  <c r="O33" i="12" s="1"/>
  <c r="N9" i="12"/>
  <c r="M9" i="12"/>
  <c r="M33" i="12" s="1"/>
  <c r="L9" i="12"/>
  <c r="L33" i="12" s="1"/>
  <c r="K9" i="12"/>
  <c r="K33" i="12" s="1"/>
  <c r="J9" i="12"/>
  <c r="J33" i="12" s="1"/>
  <c r="I9" i="12"/>
  <c r="I33" i="12" s="1"/>
  <c r="H9" i="12"/>
  <c r="H33" i="12" s="1"/>
  <c r="G9" i="12"/>
  <c r="G33" i="12" s="1"/>
  <c r="F9" i="12"/>
  <c r="F33" i="12" s="1"/>
  <c r="E9" i="12"/>
  <c r="E33" i="12" s="1"/>
  <c r="D9" i="12"/>
  <c r="D33" i="12" s="1"/>
  <c r="C9" i="12"/>
  <c r="R8" i="12"/>
  <c r="R22" i="12" s="1"/>
  <c r="Q8" i="12"/>
  <c r="Q22" i="12" s="1"/>
  <c r="P8" i="12"/>
  <c r="O8" i="12"/>
  <c r="O22" i="12" s="1"/>
  <c r="N8" i="12"/>
  <c r="M8" i="12"/>
  <c r="L8" i="12"/>
  <c r="K8" i="12"/>
  <c r="K22" i="12" s="1"/>
  <c r="J8" i="12"/>
  <c r="J22" i="12" s="1"/>
  <c r="I8" i="12"/>
  <c r="H70" i="7" s="1"/>
  <c r="H8" i="12"/>
  <c r="H22" i="12" s="1"/>
  <c r="G8" i="12"/>
  <c r="G22" i="12" s="1"/>
  <c r="F8" i="12"/>
  <c r="E70" i="7" s="1"/>
  <c r="E8" i="12"/>
  <c r="E22" i="12" s="1"/>
  <c r="D8" i="12"/>
  <c r="C8" i="12"/>
  <c r="BH4" i="12"/>
  <c r="BI4" i="12"/>
  <c r="BJ4" i="12"/>
  <c r="BK4" i="12"/>
  <c r="BH5" i="12"/>
  <c r="BI5" i="12"/>
  <c r="BJ5" i="12"/>
  <c r="BK5" i="12"/>
  <c r="BH6" i="12"/>
  <c r="BI6" i="12"/>
  <c r="BJ6" i="12"/>
  <c r="BK6" i="12"/>
  <c r="BH7" i="12"/>
  <c r="BI7" i="12"/>
  <c r="BJ7" i="12"/>
  <c r="BK7" i="12"/>
  <c r="BH8" i="12"/>
  <c r="BI8" i="12"/>
  <c r="BJ8" i="12"/>
  <c r="BK8" i="12"/>
  <c r="BH9" i="12"/>
  <c r="BI9" i="12"/>
  <c r="BJ9" i="12"/>
  <c r="BK9" i="12"/>
  <c r="BH10" i="12"/>
  <c r="BI10" i="12"/>
  <c r="BJ10" i="12"/>
  <c r="BK10" i="12"/>
  <c r="BH11" i="12"/>
  <c r="BI11" i="12"/>
  <c r="BJ11" i="12"/>
  <c r="BK11" i="12"/>
  <c r="BH12" i="12"/>
  <c r="BI12" i="12"/>
  <c r="BJ12" i="12"/>
  <c r="BK12" i="12"/>
  <c r="BH13" i="12"/>
  <c r="BI13" i="12"/>
  <c r="BJ13" i="12"/>
  <c r="BK13" i="12"/>
  <c r="BH14" i="12"/>
  <c r="BI14" i="12"/>
  <c r="BJ14" i="12"/>
  <c r="BK14" i="12"/>
  <c r="BH15" i="12"/>
  <c r="BI15" i="12"/>
  <c r="BJ15" i="12"/>
  <c r="BK15" i="12"/>
  <c r="BH16" i="12"/>
  <c r="BI16" i="12"/>
  <c r="BJ16" i="12"/>
  <c r="BK16" i="12"/>
  <c r="BH17" i="12"/>
  <c r="BI17" i="12"/>
  <c r="BJ17" i="12"/>
  <c r="BK17" i="12"/>
  <c r="BH18" i="12"/>
  <c r="BI18" i="12"/>
  <c r="BJ18" i="12"/>
  <c r="BK18" i="12"/>
  <c r="AY4" i="12"/>
  <c r="AZ4" i="12"/>
  <c r="BA4" i="12"/>
  <c r="BB4" i="12"/>
  <c r="AY5" i="12"/>
  <c r="AZ5" i="12"/>
  <c r="BA5" i="12"/>
  <c r="BB5" i="12"/>
  <c r="AY6" i="12"/>
  <c r="AZ6" i="12"/>
  <c r="BA6" i="12"/>
  <c r="BB6" i="12"/>
  <c r="AY7" i="12"/>
  <c r="AZ7" i="12"/>
  <c r="BA7" i="12"/>
  <c r="BB7" i="12"/>
  <c r="AY8" i="12"/>
  <c r="AZ8" i="12"/>
  <c r="BA8" i="12"/>
  <c r="BB8" i="12"/>
  <c r="AY9" i="12"/>
  <c r="AZ9" i="12"/>
  <c r="BA9" i="12"/>
  <c r="BB9" i="12"/>
  <c r="AY10" i="12"/>
  <c r="AZ10" i="12"/>
  <c r="BA10" i="12"/>
  <c r="BB10" i="12"/>
  <c r="AY11" i="12"/>
  <c r="AZ11" i="12"/>
  <c r="BA11" i="12"/>
  <c r="BB11" i="12"/>
  <c r="AY12" i="12"/>
  <c r="AZ12" i="12"/>
  <c r="BA12" i="12"/>
  <c r="BB12" i="12"/>
  <c r="AY13" i="12"/>
  <c r="AZ13" i="12"/>
  <c r="BA13" i="12"/>
  <c r="BB13" i="12"/>
  <c r="AY14" i="12"/>
  <c r="AZ14" i="12"/>
  <c r="BA14" i="12"/>
  <c r="BB14" i="12"/>
  <c r="AY15" i="12"/>
  <c r="AZ15" i="12"/>
  <c r="BA15" i="12"/>
  <c r="BB15" i="12"/>
  <c r="AY16" i="12"/>
  <c r="AZ16" i="12"/>
  <c r="BA16" i="12"/>
  <c r="BB16" i="12"/>
  <c r="AY17" i="12"/>
  <c r="AZ17" i="12"/>
  <c r="BA17" i="12"/>
  <c r="BB17" i="12"/>
  <c r="AY18" i="12"/>
  <c r="AZ18" i="12"/>
  <c r="BA18" i="12"/>
  <c r="BB18" i="12"/>
  <c r="AZ3" i="12"/>
  <c r="BA3" i="12"/>
  <c r="BB3" i="12"/>
  <c r="AY3" i="12"/>
  <c r="BJ3" i="12"/>
  <c r="BK3" i="12"/>
  <c r="BI3" i="12"/>
  <c r="BH3" i="12"/>
  <c r="C233" i="13"/>
  <c r="D233" i="13" s="1"/>
  <c r="E233" i="13" s="1"/>
  <c r="F233" i="13" s="1"/>
  <c r="G233" i="13" s="1"/>
  <c r="H233" i="13" s="1"/>
  <c r="I233" i="13" s="1"/>
  <c r="J233" i="13" s="1"/>
  <c r="C149" i="13"/>
  <c r="D149" i="13" s="1"/>
  <c r="E149" i="13" s="1"/>
  <c r="F149" i="13" s="1"/>
  <c r="G149" i="13" s="1"/>
  <c r="H149" i="13" s="1"/>
  <c r="I149" i="13" s="1"/>
  <c r="J149" i="13" s="1"/>
  <c r="C129" i="13"/>
  <c r="D129" i="13" s="1"/>
  <c r="E129" i="13" s="1"/>
  <c r="F129" i="13" s="1"/>
  <c r="G129" i="13" s="1"/>
  <c r="H129" i="13" s="1"/>
  <c r="I129" i="13" s="1"/>
  <c r="J129" i="13" s="1"/>
  <c r="X18" i="12"/>
  <c r="Y18" i="12"/>
  <c r="Z18" i="12"/>
  <c r="AA18" i="12"/>
  <c r="AG18" i="12"/>
  <c r="AH18" i="12"/>
  <c r="AI18" i="12"/>
  <c r="AJ18" i="12"/>
  <c r="AP18" i="12"/>
  <c r="AQ18" i="12"/>
  <c r="AR18" i="12"/>
  <c r="AS18" i="12"/>
  <c r="BQ18" i="12"/>
  <c r="BR18" i="12"/>
  <c r="BS18" i="12"/>
  <c r="BT18" i="12"/>
  <c r="X16" i="12"/>
  <c r="Y16" i="12"/>
  <c r="Z16" i="12"/>
  <c r="AA16" i="12"/>
  <c r="AG16" i="12"/>
  <c r="AH16" i="12"/>
  <c r="AI16" i="12"/>
  <c r="AJ16" i="12"/>
  <c r="AP16" i="12"/>
  <c r="AQ16" i="12"/>
  <c r="AR16" i="12"/>
  <c r="AS16" i="12"/>
  <c r="BQ16" i="12"/>
  <c r="BR16" i="12"/>
  <c r="BS16" i="12"/>
  <c r="BT16" i="12"/>
  <c r="X17" i="12"/>
  <c r="Y17" i="12"/>
  <c r="Z17" i="12"/>
  <c r="AA17" i="12"/>
  <c r="AG17" i="12"/>
  <c r="AH17" i="12"/>
  <c r="AI17" i="12"/>
  <c r="AJ17" i="12"/>
  <c r="AP17" i="12"/>
  <c r="AQ17" i="12"/>
  <c r="AR17" i="12"/>
  <c r="AS17" i="12"/>
  <c r="BQ17" i="12"/>
  <c r="BR17" i="12"/>
  <c r="BS17" i="12"/>
  <c r="BT17" i="12"/>
  <c r="X15" i="12"/>
  <c r="Y15" i="12"/>
  <c r="Z15" i="12"/>
  <c r="AA15" i="12"/>
  <c r="AG15" i="12"/>
  <c r="AH15" i="12"/>
  <c r="AI15" i="12"/>
  <c r="AJ15" i="12"/>
  <c r="AP15" i="12"/>
  <c r="AQ15" i="12"/>
  <c r="AR15" i="12"/>
  <c r="AS15" i="12"/>
  <c r="BQ15" i="12"/>
  <c r="BR15" i="12"/>
  <c r="BS15" i="12"/>
  <c r="BT15" i="12"/>
  <c r="X12" i="12"/>
  <c r="Y12" i="12"/>
  <c r="Z12" i="12"/>
  <c r="AA12" i="12"/>
  <c r="AG12" i="12"/>
  <c r="AH12" i="12"/>
  <c r="AI12" i="12"/>
  <c r="AJ12" i="12"/>
  <c r="AP12" i="12"/>
  <c r="AQ12" i="12"/>
  <c r="AR12" i="12"/>
  <c r="AS12" i="12"/>
  <c r="BQ12" i="12"/>
  <c r="BR12" i="12"/>
  <c r="BS12" i="12"/>
  <c r="BT12" i="12"/>
  <c r="X13" i="12"/>
  <c r="Y13" i="12"/>
  <c r="Z13" i="12"/>
  <c r="AA13" i="12"/>
  <c r="AG13" i="12"/>
  <c r="AH13" i="12"/>
  <c r="AI13" i="12"/>
  <c r="AJ13" i="12"/>
  <c r="AP13" i="12"/>
  <c r="AQ13" i="12"/>
  <c r="AR13" i="12"/>
  <c r="AS13" i="12"/>
  <c r="BQ13" i="12"/>
  <c r="BR13" i="12"/>
  <c r="BS13" i="12"/>
  <c r="BT13" i="12"/>
  <c r="X14" i="12"/>
  <c r="Y14" i="12"/>
  <c r="Z14" i="12"/>
  <c r="AA14" i="12"/>
  <c r="AG14" i="12"/>
  <c r="AH14" i="12"/>
  <c r="AI14" i="12"/>
  <c r="AJ14" i="12"/>
  <c r="AP14" i="12"/>
  <c r="AQ14" i="12"/>
  <c r="AR14" i="12"/>
  <c r="AS14" i="12"/>
  <c r="BQ14" i="12"/>
  <c r="BR14" i="12"/>
  <c r="BS14" i="12"/>
  <c r="BT14" i="12"/>
  <c r="BP3" i="12"/>
  <c r="BP4" i="12" s="1"/>
  <c r="BP5" i="12" s="1"/>
  <c r="BP6" i="12" s="1"/>
  <c r="BP7" i="12" s="1"/>
  <c r="BP8" i="12" s="1"/>
  <c r="BP9" i="12" s="1"/>
  <c r="BP10" i="12" s="1"/>
  <c r="BP11" i="12" s="1"/>
  <c r="BP12" i="12" s="1"/>
  <c r="BP13" i="12" s="1"/>
  <c r="BP14" i="12" s="1"/>
  <c r="BP15" i="12" s="1"/>
  <c r="BP16" i="12" s="1"/>
  <c r="BP17" i="12" s="1"/>
  <c r="BP18" i="12" s="1"/>
  <c r="BQ3" i="12"/>
  <c r="BR3" i="12"/>
  <c r="BS3" i="12"/>
  <c r="BT3" i="12"/>
  <c r="BQ4" i="12"/>
  <c r="BR4" i="12"/>
  <c r="BS4" i="12"/>
  <c r="BT4" i="12"/>
  <c r="BQ5" i="12"/>
  <c r="BR5" i="12"/>
  <c r="BS5" i="12"/>
  <c r="BT5" i="12"/>
  <c r="BQ6" i="12"/>
  <c r="BR6" i="12"/>
  <c r="BS6" i="12"/>
  <c r="BT6" i="12"/>
  <c r="BQ7" i="12"/>
  <c r="BR7" i="12"/>
  <c r="BS7" i="12"/>
  <c r="BT7" i="12"/>
  <c r="BQ8" i="12"/>
  <c r="BR8" i="12"/>
  <c r="BS8" i="12"/>
  <c r="BT8" i="12"/>
  <c r="BQ9" i="12"/>
  <c r="BR9" i="12"/>
  <c r="BS9" i="12"/>
  <c r="BT9" i="12"/>
  <c r="BQ10" i="12"/>
  <c r="BR10" i="12"/>
  <c r="BS10" i="12"/>
  <c r="BT10" i="12"/>
  <c r="BQ11" i="12"/>
  <c r="BR11" i="12"/>
  <c r="BS11" i="12"/>
  <c r="BT11" i="12"/>
  <c r="C91" i="12"/>
  <c r="B195" i="11" s="1"/>
  <c r="D91" i="12"/>
  <c r="C195" i="11" s="1"/>
  <c r="E91" i="12"/>
  <c r="D195" i="11" s="1"/>
  <c r="F91" i="12"/>
  <c r="E195" i="11" s="1"/>
  <c r="G91" i="12"/>
  <c r="F195" i="11" s="1"/>
  <c r="H91" i="12"/>
  <c r="G195" i="11" s="1"/>
  <c r="I91" i="12"/>
  <c r="H195" i="11" s="1"/>
  <c r="J91" i="12"/>
  <c r="I195" i="11" s="1"/>
  <c r="K91" i="12"/>
  <c r="J195" i="11" s="1"/>
  <c r="L91" i="12"/>
  <c r="M91" i="12"/>
  <c r="N91" i="12"/>
  <c r="O91" i="12"/>
  <c r="P91" i="12"/>
  <c r="Q91" i="12"/>
  <c r="R91" i="12"/>
  <c r="I78" i="12"/>
  <c r="I79" i="12"/>
  <c r="I80" i="12"/>
  <c r="I81" i="12"/>
  <c r="C72" i="12"/>
  <c r="B169" i="11" s="1"/>
  <c r="D72" i="12"/>
  <c r="E72" i="12"/>
  <c r="D169" i="11" s="1"/>
  <c r="F72" i="12"/>
  <c r="E169" i="11" s="1"/>
  <c r="G72" i="12"/>
  <c r="F169" i="11" s="1"/>
  <c r="H72" i="12"/>
  <c r="G169" i="11" s="1"/>
  <c r="I72" i="12"/>
  <c r="H169" i="11" s="1"/>
  <c r="J72" i="12"/>
  <c r="I169" i="11" s="1"/>
  <c r="K72" i="12"/>
  <c r="J169" i="11" s="1"/>
  <c r="L72" i="12"/>
  <c r="M72" i="12"/>
  <c r="N72" i="12"/>
  <c r="O72" i="12"/>
  <c r="P72" i="12"/>
  <c r="Q72" i="12"/>
  <c r="R72" i="12"/>
  <c r="C12" i="12"/>
  <c r="D12" i="12"/>
  <c r="E12" i="12"/>
  <c r="F12" i="12"/>
  <c r="G12" i="12"/>
  <c r="H12" i="12"/>
  <c r="I12" i="12"/>
  <c r="J12" i="12"/>
  <c r="K12" i="12"/>
  <c r="L12" i="12"/>
  <c r="M12" i="12"/>
  <c r="N12" i="12"/>
  <c r="O12" i="12"/>
  <c r="P12" i="12"/>
  <c r="Q12" i="12"/>
  <c r="R12" i="12"/>
  <c r="C13" i="12"/>
  <c r="C35" i="12" s="1"/>
  <c r="D13" i="12"/>
  <c r="E13" i="12"/>
  <c r="E35" i="12" s="1"/>
  <c r="F13" i="12"/>
  <c r="F35" i="12" s="1"/>
  <c r="G13" i="12"/>
  <c r="G35" i="12" s="1"/>
  <c r="H13" i="12"/>
  <c r="H35" i="12" s="1"/>
  <c r="I13" i="12"/>
  <c r="I35" i="12" s="1"/>
  <c r="J13" i="12"/>
  <c r="I70" i="11" s="1"/>
  <c r="K13" i="12"/>
  <c r="K35" i="12" s="1"/>
  <c r="L13" i="12"/>
  <c r="L35" i="12" s="1"/>
  <c r="M13" i="12"/>
  <c r="M35" i="12" s="1"/>
  <c r="N13" i="12"/>
  <c r="N35" i="12" s="1"/>
  <c r="O13" i="12"/>
  <c r="O35" i="12" s="1"/>
  <c r="P13" i="12"/>
  <c r="P35" i="12" s="1"/>
  <c r="Q13" i="12"/>
  <c r="Q35" i="12" s="1"/>
  <c r="R13" i="12"/>
  <c r="R35" i="12" s="1"/>
  <c r="BG3" i="12"/>
  <c r="BG4" i="12" s="1"/>
  <c r="BG5" i="12" s="1"/>
  <c r="BG6" i="12" s="1"/>
  <c r="BG7" i="12" s="1"/>
  <c r="BG8" i="12" s="1"/>
  <c r="BG9" i="12" s="1"/>
  <c r="BG10" i="12" s="1"/>
  <c r="BG11" i="12" s="1"/>
  <c r="BG12" i="12" s="1"/>
  <c r="BG13" i="12" s="1"/>
  <c r="BG14" i="12" s="1"/>
  <c r="BG15" i="12" s="1"/>
  <c r="BG16" i="12" s="1"/>
  <c r="BG17" i="12" s="1"/>
  <c r="BG18" i="12" s="1"/>
  <c r="AX3" i="12"/>
  <c r="AX4" i="12" s="1"/>
  <c r="AX5" i="12" s="1"/>
  <c r="AX6" i="12" s="1"/>
  <c r="AX7" i="12" s="1"/>
  <c r="AX8" i="12" s="1"/>
  <c r="AX9" i="12" s="1"/>
  <c r="AX10" i="12" s="1"/>
  <c r="AX11" i="12" s="1"/>
  <c r="AX12" i="12" s="1"/>
  <c r="AX13" i="12" s="1"/>
  <c r="AX14" i="12" s="1"/>
  <c r="AX15" i="12" s="1"/>
  <c r="AX16" i="12" s="1"/>
  <c r="AX17" i="12" s="1"/>
  <c r="AX18" i="12" s="1"/>
  <c r="N33" i="12"/>
  <c r="N22" i="12"/>
  <c r="C88" i="12"/>
  <c r="B195" i="10" s="1"/>
  <c r="D88" i="12"/>
  <c r="C195" i="10" s="1"/>
  <c r="E88" i="12"/>
  <c r="D195" i="10" s="1"/>
  <c r="F88" i="12"/>
  <c r="E195" i="10" s="1"/>
  <c r="G88" i="12"/>
  <c r="H88" i="12"/>
  <c r="G195" i="10" s="1"/>
  <c r="I88" i="12"/>
  <c r="H195" i="10" s="1"/>
  <c r="J88" i="12"/>
  <c r="I195" i="10" s="1"/>
  <c r="K88" i="12"/>
  <c r="J195" i="10" s="1"/>
  <c r="L88" i="12"/>
  <c r="M88" i="12"/>
  <c r="N88" i="12"/>
  <c r="O88" i="12"/>
  <c r="P88" i="12"/>
  <c r="Q88" i="12"/>
  <c r="R88" i="12"/>
  <c r="F78" i="12"/>
  <c r="F79" i="12"/>
  <c r="F80" i="12"/>
  <c r="F81" i="12"/>
  <c r="C69" i="12"/>
  <c r="B169" i="10" s="1"/>
  <c r="D69" i="12"/>
  <c r="C169" i="10" s="1"/>
  <c r="E69" i="12"/>
  <c r="D169" i="10" s="1"/>
  <c r="F69" i="12"/>
  <c r="E169" i="10" s="1"/>
  <c r="G69" i="12"/>
  <c r="F169" i="10" s="1"/>
  <c r="H69" i="12"/>
  <c r="G169" i="10" s="1"/>
  <c r="I69" i="12"/>
  <c r="H169" i="10" s="1"/>
  <c r="J69" i="12"/>
  <c r="I169" i="10" s="1"/>
  <c r="K69" i="12"/>
  <c r="J169" i="10" s="1"/>
  <c r="L69" i="12"/>
  <c r="M69" i="12"/>
  <c r="N69" i="12"/>
  <c r="O69" i="12"/>
  <c r="P69" i="12"/>
  <c r="Q69" i="12"/>
  <c r="R69" i="12"/>
  <c r="AO3" i="12"/>
  <c r="AO4" i="12" s="1"/>
  <c r="AO5" i="12" s="1"/>
  <c r="AO6" i="12" s="1"/>
  <c r="AO7" i="12" s="1"/>
  <c r="AO8" i="12" s="1"/>
  <c r="AO9" i="12" s="1"/>
  <c r="AO10" i="12" s="1"/>
  <c r="AO11" i="12" s="1"/>
  <c r="AO12" i="12" s="1"/>
  <c r="AO13" i="12" s="1"/>
  <c r="AO14" i="12" s="1"/>
  <c r="AO15" i="12" s="1"/>
  <c r="AO16" i="12" s="1"/>
  <c r="AO17" i="12" s="1"/>
  <c r="AO18" i="12" s="1"/>
  <c r="AP3" i="12"/>
  <c r="AQ3" i="12"/>
  <c r="AR3" i="12"/>
  <c r="AS3" i="12"/>
  <c r="AP4" i="12"/>
  <c r="AQ4" i="12"/>
  <c r="AR4" i="12"/>
  <c r="AS4" i="12"/>
  <c r="AP5" i="12"/>
  <c r="AQ5" i="12"/>
  <c r="AR5" i="12"/>
  <c r="AS5" i="12"/>
  <c r="AP6" i="12"/>
  <c r="AQ6" i="12"/>
  <c r="AR6" i="12"/>
  <c r="AS6" i="12"/>
  <c r="AP7" i="12"/>
  <c r="AQ7" i="12"/>
  <c r="AR7" i="12"/>
  <c r="AS7" i="12"/>
  <c r="AP8" i="12"/>
  <c r="AQ8" i="12"/>
  <c r="AR8" i="12"/>
  <c r="AS8" i="12"/>
  <c r="AP9" i="12"/>
  <c r="AQ9" i="12"/>
  <c r="AR9" i="12"/>
  <c r="AS9" i="12"/>
  <c r="AP10" i="12"/>
  <c r="AQ10" i="12"/>
  <c r="AR10" i="12"/>
  <c r="AS10" i="12"/>
  <c r="AP11" i="12"/>
  <c r="AQ11" i="12"/>
  <c r="AR11" i="12"/>
  <c r="AS11" i="12"/>
  <c r="C6" i="12"/>
  <c r="D6" i="12"/>
  <c r="E6" i="12"/>
  <c r="F6" i="12"/>
  <c r="G6" i="12"/>
  <c r="H6" i="12"/>
  <c r="I6" i="12"/>
  <c r="J6" i="12"/>
  <c r="K6" i="12"/>
  <c r="L6" i="12"/>
  <c r="M6" i="12"/>
  <c r="N6" i="12"/>
  <c r="O6" i="12"/>
  <c r="P6" i="12"/>
  <c r="Q6" i="12"/>
  <c r="R6" i="12"/>
  <c r="C7" i="12"/>
  <c r="C32" i="12" s="1"/>
  <c r="D7" i="12"/>
  <c r="D32" i="12" s="1"/>
  <c r="E7" i="12"/>
  <c r="E32" i="12" s="1"/>
  <c r="F7" i="12"/>
  <c r="F32" i="12" s="1"/>
  <c r="G7" i="12"/>
  <c r="G32" i="12" s="1"/>
  <c r="H7" i="12"/>
  <c r="H32" i="12" s="1"/>
  <c r="I7" i="12"/>
  <c r="I32" i="12" s="1"/>
  <c r="J7" i="12"/>
  <c r="I70" i="10" s="1"/>
  <c r="K7" i="12"/>
  <c r="K32" i="12" s="1"/>
  <c r="L7" i="12"/>
  <c r="L32" i="12" s="1"/>
  <c r="M7" i="12"/>
  <c r="M32" i="12" s="1"/>
  <c r="N7" i="12"/>
  <c r="N32" i="12" s="1"/>
  <c r="O7" i="12"/>
  <c r="O32" i="12" s="1"/>
  <c r="P7" i="12"/>
  <c r="P32" i="12" s="1"/>
  <c r="Q7" i="12"/>
  <c r="Q32" i="12" s="1"/>
  <c r="R7" i="12"/>
  <c r="C87" i="12"/>
  <c r="B196" i="9" s="1"/>
  <c r="D87" i="12"/>
  <c r="C196" i="9" s="1"/>
  <c r="E87" i="12"/>
  <c r="D196" i="9" s="1"/>
  <c r="F87" i="12"/>
  <c r="E196" i="9" s="1"/>
  <c r="G87" i="12"/>
  <c r="F196" i="9" s="1"/>
  <c r="H87" i="12"/>
  <c r="G196" i="9" s="1"/>
  <c r="I87" i="12"/>
  <c r="H196" i="9" s="1"/>
  <c r="J87" i="12"/>
  <c r="I196" i="9" s="1"/>
  <c r="K87" i="12"/>
  <c r="J196" i="9" s="1"/>
  <c r="L87" i="12"/>
  <c r="M87" i="12"/>
  <c r="N87" i="12"/>
  <c r="O87" i="12"/>
  <c r="P87" i="12"/>
  <c r="Q87" i="12"/>
  <c r="R87" i="12"/>
  <c r="E78" i="12"/>
  <c r="E79" i="12"/>
  <c r="E80" i="12"/>
  <c r="E81" i="12"/>
  <c r="C68" i="12"/>
  <c r="B170" i="9" s="1"/>
  <c r="D68" i="12"/>
  <c r="C170" i="9" s="1"/>
  <c r="E68" i="12"/>
  <c r="D170" i="9" s="1"/>
  <c r="F68" i="12"/>
  <c r="E170" i="9" s="1"/>
  <c r="G68" i="12"/>
  <c r="F170" i="9" s="1"/>
  <c r="H68" i="12"/>
  <c r="G170" i="9" s="1"/>
  <c r="I68" i="12"/>
  <c r="H170" i="9" s="1"/>
  <c r="J68" i="12"/>
  <c r="I170" i="9" s="1"/>
  <c r="K68" i="12"/>
  <c r="J170" i="9" s="1"/>
  <c r="L68" i="12"/>
  <c r="M68" i="12"/>
  <c r="N68" i="12"/>
  <c r="O68" i="12"/>
  <c r="P68" i="12"/>
  <c r="Q68" i="12"/>
  <c r="R68" i="12"/>
  <c r="AF3" i="12"/>
  <c r="AF4" i="12" s="1"/>
  <c r="AF5" i="12" s="1"/>
  <c r="AF6" i="12" s="1"/>
  <c r="AF7" i="12" s="1"/>
  <c r="AF8" i="12" s="1"/>
  <c r="AF9" i="12" s="1"/>
  <c r="AF10" i="12" s="1"/>
  <c r="AF11" i="12" s="1"/>
  <c r="AF12" i="12" s="1"/>
  <c r="AF13" i="12" s="1"/>
  <c r="AF14" i="12" s="1"/>
  <c r="AF15" i="12" s="1"/>
  <c r="AF16" i="12" s="1"/>
  <c r="AF17" i="12" s="1"/>
  <c r="AF18" i="12" s="1"/>
  <c r="AG3" i="12"/>
  <c r="AH3" i="12"/>
  <c r="AI3" i="12"/>
  <c r="AJ3" i="12"/>
  <c r="AG4" i="12"/>
  <c r="AH4" i="12"/>
  <c r="AI4" i="12"/>
  <c r="AJ4" i="12"/>
  <c r="AG5" i="12"/>
  <c r="AH5" i="12"/>
  <c r="AI5" i="12"/>
  <c r="AJ5" i="12"/>
  <c r="AG6" i="12"/>
  <c r="AH6" i="12"/>
  <c r="AI6" i="12"/>
  <c r="AJ6" i="12"/>
  <c r="AG7" i="12"/>
  <c r="AH7" i="12"/>
  <c r="AI7" i="12"/>
  <c r="AJ7" i="12"/>
  <c r="AG8" i="12"/>
  <c r="AH8" i="12"/>
  <c r="AI8" i="12"/>
  <c r="AJ8" i="12"/>
  <c r="AG9" i="12"/>
  <c r="AH9" i="12"/>
  <c r="AI9" i="12"/>
  <c r="AJ9" i="12"/>
  <c r="AG10" i="12"/>
  <c r="AH10" i="12"/>
  <c r="AI10" i="12"/>
  <c r="AJ10" i="12"/>
  <c r="AG11" i="12"/>
  <c r="AH11" i="12"/>
  <c r="AI11" i="12"/>
  <c r="AJ11" i="12"/>
  <c r="C4" i="12"/>
  <c r="D4" i="12"/>
  <c r="E4" i="12"/>
  <c r="F4" i="12"/>
  <c r="G4" i="12"/>
  <c r="H4" i="12"/>
  <c r="I4" i="12"/>
  <c r="J4" i="12"/>
  <c r="K4" i="12"/>
  <c r="L4" i="12"/>
  <c r="M4" i="12"/>
  <c r="N4" i="12"/>
  <c r="O4" i="12"/>
  <c r="P4" i="12"/>
  <c r="Q4" i="12"/>
  <c r="R4" i="12"/>
  <c r="C5" i="12"/>
  <c r="C31" i="12" s="1"/>
  <c r="D5" i="12"/>
  <c r="D31" i="12" s="1"/>
  <c r="E5" i="12"/>
  <c r="E31" i="12" s="1"/>
  <c r="F5" i="12"/>
  <c r="F31" i="12" s="1"/>
  <c r="G5" i="12"/>
  <c r="G31" i="12" s="1"/>
  <c r="H5" i="12"/>
  <c r="H31" i="12" s="1"/>
  <c r="I5" i="12"/>
  <c r="I31" i="12" s="1"/>
  <c r="J5" i="12"/>
  <c r="J31" i="12" s="1"/>
  <c r="K5" i="12"/>
  <c r="K31" i="12" s="1"/>
  <c r="L5" i="12"/>
  <c r="L31" i="12" s="1"/>
  <c r="M5" i="12"/>
  <c r="M31" i="12" s="1"/>
  <c r="N5" i="12"/>
  <c r="N31" i="12" s="1"/>
  <c r="O5" i="12"/>
  <c r="O31" i="12" s="1"/>
  <c r="P5" i="12"/>
  <c r="P31" i="12" s="1"/>
  <c r="Q5" i="12"/>
  <c r="Q31" i="12" s="1"/>
  <c r="R5" i="12"/>
  <c r="R31" i="12" s="1"/>
  <c r="W3" i="12"/>
  <c r="W4" i="12" s="1"/>
  <c r="W5" i="12" s="1"/>
  <c r="W6" i="12" s="1"/>
  <c r="W7" i="12" s="1"/>
  <c r="W8" i="12" s="1"/>
  <c r="W9" i="12" s="1"/>
  <c r="W10" i="12" s="1"/>
  <c r="W11" i="12" s="1"/>
  <c r="W12" i="12" s="1"/>
  <c r="W13" i="12" s="1"/>
  <c r="W14" i="12" s="1"/>
  <c r="W15" i="12" s="1"/>
  <c r="W16" i="12" s="1"/>
  <c r="W17" i="12" s="1"/>
  <c r="W18" i="12" s="1"/>
  <c r="X3" i="12"/>
  <c r="Y3" i="12"/>
  <c r="Z3" i="12"/>
  <c r="AA3" i="12"/>
  <c r="X4" i="12"/>
  <c r="Y4" i="12"/>
  <c r="Z4" i="12"/>
  <c r="AA4" i="12"/>
  <c r="X5" i="12"/>
  <c r="Y5" i="12"/>
  <c r="Z5" i="12"/>
  <c r="AA5" i="12"/>
  <c r="X6" i="12"/>
  <c r="Y6" i="12"/>
  <c r="Z6" i="12"/>
  <c r="AA6" i="12"/>
  <c r="X7" i="12"/>
  <c r="Y7" i="12"/>
  <c r="Z7" i="12"/>
  <c r="AA7" i="12"/>
  <c r="X8" i="12"/>
  <c r="Y8" i="12"/>
  <c r="Z8" i="12"/>
  <c r="AA8" i="12"/>
  <c r="X9" i="12"/>
  <c r="Y9" i="12"/>
  <c r="Z9" i="12"/>
  <c r="AA9" i="12"/>
  <c r="X10" i="12"/>
  <c r="Y10" i="12"/>
  <c r="Z10" i="12"/>
  <c r="AA10" i="12"/>
  <c r="X11" i="12"/>
  <c r="Y11" i="12"/>
  <c r="Z11" i="12"/>
  <c r="AA11" i="12"/>
  <c r="D85" i="12"/>
  <c r="E85" i="12" s="1"/>
  <c r="F85" i="12" s="1"/>
  <c r="G85" i="12" s="1"/>
  <c r="H85" i="12" s="1"/>
  <c r="I85" i="12" s="1"/>
  <c r="J85" i="12" s="1"/>
  <c r="K85" i="12" s="1"/>
  <c r="L85" i="12" s="1"/>
  <c r="M85" i="12" s="1"/>
  <c r="N85" i="12" s="1"/>
  <c r="O85" i="12" s="1"/>
  <c r="P85" i="12" s="1"/>
  <c r="Q85" i="12" s="1"/>
  <c r="R85" i="12" s="1"/>
  <c r="C86" i="12"/>
  <c r="B195" i="8" s="1"/>
  <c r="D86" i="12"/>
  <c r="C195" i="8" s="1"/>
  <c r="E86" i="12"/>
  <c r="D195" i="8" s="1"/>
  <c r="F86" i="12"/>
  <c r="E195" i="8" s="1"/>
  <c r="G86" i="12"/>
  <c r="F195" i="8" s="1"/>
  <c r="H86" i="12"/>
  <c r="G195" i="8" s="1"/>
  <c r="I86" i="12"/>
  <c r="H195" i="8" s="1"/>
  <c r="J86" i="12"/>
  <c r="I195" i="8" s="1"/>
  <c r="K86" i="12"/>
  <c r="J195" i="8" s="1"/>
  <c r="L86" i="12"/>
  <c r="M86" i="12"/>
  <c r="N86" i="12"/>
  <c r="O86" i="12"/>
  <c r="P86" i="12"/>
  <c r="Q86" i="12"/>
  <c r="R86" i="12"/>
  <c r="D78" i="12"/>
  <c r="D79" i="12"/>
  <c r="D80" i="12"/>
  <c r="D81" i="12"/>
  <c r="C67" i="12"/>
  <c r="D67" i="12"/>
  <c r="E67" i="12"/>
  <c r="F67" i="12"/>
  <c r="G67" i="12"/>
  <c r="H67" i="12"/>
  <c r="I67" i="12"/>
  <c r="J67" i="12"/>
  <c r="K67" i="12"/>
  <c r="L67" i="12"/>
  <c r="M67" i="12"/>
  <c r="N67" i="12"/>
  <c r="O67" i="12"/>
  <c r="P67" i="12"/>
  <c r="Q67" i="12"/>
  <c r="R67" i="12"/>
  <c r="C2" i="12"/>
  <c r="D2" i="12"/>
  <c r="E2" i="12"/>
  <c r="F2" i="12"/>
  <c r="G2" i="12"/>
  <c r="H2" i="12"/>
  <c r="I2" i="12"/>
  <c r="J2" i="12"/>
  <c r="K2" i="12"/>
  <c r="L2" i="12"/>
  <c r="M2" i="12"/>
  <c r="N2" i="12"/>
  <c r="O2" i="12"/>
  <c r="P2" i="12"/>
  <c r="Q2" i="12"/>
  <c r="R2" i="12"/>
  <c r="C3" i="12"/>
  <c r="C30" i="12" s="1"/>
  <c r="D3" i="12"/>
  <c r="D30" i="12" s="1"/>
  <c r="E3" i="12"/>
  <c r="F3" i="12"/>
  <c r="F30" i="12" s="1"/>
  <c r="G3" i="12"/>
  <c r="G30" i="12" s="1"/>
  <c r="H3" i="12"/>
  <c r="H30" i="12" s="1"/>
  <c r="I3" i="12"/>
  <c r="I30" i="12" s="1"/>
  <c r="J3" i="12"/>
  <c r="J30" i="12" s="1"/>
  <c r="K3" i="12"/>
  <c r="K30" i="12" s="1"/>
  <c r="L3" i="12"/>
  <c r="L30" i="12" s="1"/>
  <c r="M3" i="12"/>
  <c r="M30" i="12" s="1"/>
  <c r="N3" i="12"/>
  <c r="N30" i="12" s="1"/>
  <c r="O3" i="12"/>
  <c r="O30" i="12" s="1"/>
  <c r="P3" i="12"/>
  <c r="P30" i="12" s="1"/>
  <c r="Q3" i="12"/>
  <c r="Q30" i="12" s="1"/>
  <c r="R3" i="12"/>
  <c r="R30" i="12" s="1"/>
  <c r="J195" i="7"/>
  <c r="C194" i="11"/>
  <c r="D194" i="11" s="1"/>
  <c r="E194" i="11" s="1"/>
  <c r="F194" i="11" s="1"/>
  <c r="G194" i="11" s="1"/>
  <c r="H194" i="11" s="1"/>
  <c r="I194" i="11" s="1"/>
  <c r="J194" i="11" s="1"/>
  <c r="C194" i="6"/>
  <c r="D194" i="6" s="1"/>
  <c r="E194" i="6" s="1"/>
  <c r="F194" i="6" s="1"/>
  <c r="G194" i="6" s="1"/>
  <c r="H194" i="6" s="1"/>
  <c r="I194" i="6" s="1"/>
  <c r="J194" i="6" s="1"/>
  <c r="C194" i="10"/>
  <c r="D194" i="10" s="1"/>
  <c r="E194" i="10" s="1"/>
  <c r="F194" i="10" s="1"/>
  <c r="G194" i="10" s="1"/>
  <c r="H194" i="10" s="1"/>
  <c r="I194" i="10" s="1"/>
  <c r="J194" i="10" s="1"/>
  <c r="D168" i="11"/>
  <c r="E168" i="11" s="1"/>
  <c r="F168" i="11" s="1"/>
  <c r="G168" i="11" s="1"/>
  <c r="H168" i="11" s="1"/>
  <c r="I168" i="11" s="1"/>
  <c r="J168" i="11" s="1"/>
  <c r="C168" i="11"/>
  <c r="C168" i="6"/>
  <c r="D168" i="6" s="1"/>
  <c r="E168" i="6" s="1"/>
  <c r="F168" i="6" s="1"/>
  <c r="G168" i="6" s="1"/>
  <c r="H168" i="6" s="1"/>
  <c r="I168" i="6" s="1"/>
  <c r="J168" i="6" s="1"/>
  <c r="C168" i="10"/>
  <c r="D168" i="10" s="1"/>
  <c r="E168" i="10" s="1"/>
  <c r="F168" i="10" s="1"/>
  <c r="G168" i="10" s="1"/>
  <c r="H168" i="10" s="1"/>
  <c r="I168" i="10" s="1"/>
  <c r="J168" i="10" s="1"/>
  <c r="C194" i="7"/>
  <c r="D194" i="7" s="1"/>
  <c r="E194" i="7" s="1"/>
  <c r="F194" i="7" s="1"/>
  <c r="G194" i="7" s="1"/>
  <c r="H194" i="7" s="1"/>
  <c r="I194" i="7" s="1"/>
  <c r="J194" i="7" s="1"/>
  <c r="C168" i="7"/>
  <c r="D168" i="7" s="1"/>
  <c r="E168" i="7" s="1"/>
  <c r="F168" i="7" s="1"/>
  <c r="G168" i="7" s="1"/>
  <c r="H168" i="7" s="1"/>
  <c r="I168" i="7" s="1"/>
  <c r="J168" i="7" s="1"/>
  <c r="C93" i="11"/>
  <c r="D93" i="11" s="1"/>
  <c r="E93" i="11" s="1"/>
  <c r="F93" i="11" s="1"/>
  <c r="G93" i="11" s="1"/>
  <c r="H93" i="11" s="1"/>
  <c r="I93" i="11" s="1"/>
  <c r="J93" i="11" s="1"/>
  <c r="C93" i="6"/>
  <c r="D93" i="6" s="1"/>
  <c r="E93" i="6" s="1"/>
  <c r="F93" i="6" s="1"/>
  <c r="G93" i="6" s="1"/>
  <c r="H93" i="6" s="1"/>
  <c r="I93" i="6" s="1"/>
  <c r="J93" i="6" s="1"/>
  <c r="C93" i="10"/>
  <c r="D93" i="10" s="1"/>
  <c r="E93" i="10" s="1"/>
  <c r="F93" i="10" s="1"/>
  <c r="G93" i="10" s="1"/>
  <c r="H93" i="10" s="1"/>
  <c r="I93" i="10" s="1"/>
  <c r="J93" i="10" s="1"/>
  <c r="C93" i="7"/>
  <c r="D93" i="7" s="1"/>
  <c r="E93" i="7" s="1"/>
  <c r="F93" i="7" s="1"/>
  <c r="G93" i="7" s="1"/>
  <c r="H93" i="7" s="1"/>
  <c r="I93" i="7" s="1"/>
  <c r="J93" i="7" s="1"/>
  <c r="C69" i="11"/>
  <c r="D69" i="11" s="1"/>
  <c r="E69" i="11" s="1"/>
  <c r="F69" i="11" s="1"/>
  <c r="G69" i="11" s="1"/>
  <c r="H69" i="11" s="1"/>
  <c r="I69" i="11" s="1"/>
  <c r="J69" i="11" s="1"/>
  <c r="C69" i="6"/>
  <c r="D69" i="6" s="1"/>
  <c r="E69" i="6" s="1"/>
  <c r="F69" i="6" s="1"/>
  <c r="G69" i="6" s="1"/>
  <c r="H69" i="6" s="1"/>
  <c r="I69" i="6" s="1"/>
  <c r="J69" i="6" s="1"/>
  <c r="C69" i="10"/>
  <c r="D69" i="10" s="1"/>
  <c r="E69" i="10" s="1"/>
  <c r="F69" i="10" s="1"/>
  <c r="G69" i="10" s="1"/>
  <c r="H69" i="10" s="1"/>
  <c r="I69" i="10" s="1"/>
  <c r="J69" i="10" s="1"/>
  <c r="C69" i="7"/>
  <c r="D69" i="7" s="1"/>
  <c r="E69" i="7" s="1"/>
  <c r="F69" i="7" s="1"/>
  <c r="G69" i="7" s="1"/>
  <c r="H69" i="7" s="1"/>
  <c r="I69" i="7" s="1"/>
  <c r="J69" i="7" s="1"/>
  <c r="C195" i="9"/>
  <c r="D195" i="9" s="1"/>
  <c r="E195" i="9" s="1"/>
  <c r="F195" i="9" s="1"/>
  <c r="G195" i="9" s="1"/>
  <c r="H195" i="9" s="1"/>
  <c r="I195" i="9" s="1"/>
  <c r="J195" i="9" s="1"/>
  <c r="C169" i="9"/>
  <c r="D169" i="9" s="1"/>
  <c r="E169" i="9" s="1"/>
  <c r="F169" i="9" s="1"/>
  <c r="G169" i="9" s="1"/>
  <c r="H169" i="9" s="1"/>
  <c r="I169" i="9" s="1"/>
  <c r="J169" i="9" s="1"/>
  <c r="C94" i="9"/>
  <c r="D94" i="9" s="1"/>
  <c r="E94" i="9" s="1"/>
  <c r="F94" i="9" s="1"/>
  <c r="G94" i="9" s="1"/>
  <c r="H94" i="9" s="1"/>
  <c r="I94" i="9" s="1"/>
  <c r="J94" i="9" s="1"/>
  <c r="C70" i="9"/>
  <c r="D70" i="9" s="1"/>
  <c r="E70" i="9" s="1"/>
  <c r="F70" i="9" s="1"/>
  <c r="G70" i="9" s="1"/>
  <c r="H70" i="9" s="1"/>
  <c r="I70" i="9" s="1"/>
  <c r="J70" i="9" s="1"/>
  <c r="F195" i="10"/>
  <c r="I70" i="7" l="1"/>
  <c r="Q23" i="12"/>
  <c r="E23" i="12"/>
  <c r="L22" i="12"/>
  <c r="C23" i="12"/>
  <c r="O23" i="12"/>
  <c r="M22" i="12"/>
  <c r="D23" i="12"/>
  <c r="P23" i="12"/>
  <c r="D70" i="6"/>
  <c r="D22" i="12"/>
  <c r="P22" i="12"/>
  <c r="F22" i="12"/>
  <c r="R21" i="12"/>
  <c r="H70" i="6"/>
  <c r="BD13" i="12"/>
  <c r="BD11" i="12"/>
  <c r="J94" i="7" s="1"/>
  <c r="BD7" i="12"/>
  <c r="F94" i="7" s="1"/>
  <c r="BD5" i="12"/>
  <c r="D94" i="7" s="1"/>
  <c r="BD3" i="12"/>
  <c r="B94" i="7" s="1"/>
  <c r="E70" i="11"/>
  <c r="C70" i="7"/>
  <c r="F70" i="6"/>
  <c r="BV16" i="12"/>
  <c r="F70" i="11"/>
  <c r="E70" i="10"/>
  <c r="G70" i="11"/>
  <c r="B71" i="9"/>
  <c r="J70" i="11"/>
  <c r="B70" i="11"/>
  <c r="AD16" i="12"/>
  <c r="AM18" i="12"/>
  <c r="BE8" i="12"/>
  <c r="G96" i="7" s="1"/>
  <c r="J71" i="9"/>
  <c r="D71" i="9"/>
  <c r="D70" i="11"/>
  <c r="F70" i="10"/>
  <c r="D70" i="7"/>
  <c r="G70" i="6"/>
  <c r="AC10" i="12"/>
  <c r="AC9" i="12"/>
  <c r="AC7" i="12"/>
  <c r="AC5" i="12"/>
  <c r="AC3" i="12"/>
  <c r="BV12" i="12"/>
  <c r="AL12" i="12"/>
  <c r="AL15" i="12"/>
  <c r="F70" i="7"/>
  <c r="H71" i="9"/>
  <c r="BE10" i="12"/>
  <c r="I96" i="7" s="1"/>
  <c r="BE6" i="12"/>
  <c r="E96" i="7" s="1"/>
  <c r="BE4" i="12"/>
  <c r="C96" i="7" s="1"/>
  <c r="G71" i="9"/>
  <c r="AL4" i="12"/>
  <c r="C95" i="9" s="1"/>
  <c r="AV9" i="12"/>
  <c r="H96" i="10" s="1"/>
  <c r="J70" i="7"/>
  <c r="G70" i="10"/>
  <c r="AU8" i="12"/>
  <c r="G94" i="10" s="1"/>
  <c r="AU6" i="12"/>
  <c r="E94" i="10" s="1"/>
  <c r="BW11" i="12"/>
  <c r="J96" i="11" s="1"/>
  <c r="BW4" i="12"/>
  <c r="C96" i="11" s="1"/>
  <c r="AL18" i="12"/>
  <c r="BV18" i="12"/>
  <c r="AD10" i="12"/>
  <c r="AM7" i="12"/>
  <c r="F97" i="9" s="1"/>
  <c r="AM14" i="12"/>
  <c r="AD12" i="12"/>
  <c r="AV15" i="12"/>
  <c r="AM15" i="12"/>
  <c r="AD15" i="12"/>
  <c r="AV17" i="12"/>
  <c r="AV4" i="12"/>
  <c r="C96" i="10" s="1"/>
  <c r="BE18" i="12"/>
  <c r="BE16" i="12"/>
  <c r="BE14" i="12"/>
  <c r="BE12" i="12"/>
  <c r="BN17" i="12"/>
  <c r="BN15" i="12"/>
  <c r="BN13" i="12"/>
  <c r="BN11" i="12"/>
  <c r="J96" i="6" s="1"/>
  <c r="BN9" i="12"/>
  <c r="H96" i="6" s="1"/>
  <c r="BN7" i="12"/>
  <c r="F96" i="6" s="1"/>
  <c r="BN5" i="12"/>
  <c r="D96" i="6" s="1"/>
  <c r="AV7" i="12"/>
  <c r="F96" i="10" s="1"/>
  <c r="AV5" i="12"/>
  <c r="D96" i="10" s="1"/>
  <c r="AV3" i="12"/>
  <c r="B96" i="10" s="1"/>
  <c r="H70" i="11"/>
  <c r="BV8" i="12"/>
  <c r="G94" i="11" s="1"/>
  <c r="AD18" i="12"/>
  <c r="BN18" i="12"/>
  <c r="BN16" i="12"/>
  <c r="BN14" i="12"/>
  <c r="BN12" i="12"/>
  <c r="BN10" i="12"/>
  <c r="I96" i="6" s="1"/>
  <c r="BN8" i="12"/>
  <c r="G96" i="6" s="1"/>
  <c r="BN6" i="12"/>
  <c r="E96" i="6" s="1"/>
  <c r="BN4" i="12"/>
  <c r="C96" i="6" s="1"/>
  <c r="BD9" i="12"/>
  <c r="H94" i="7" s="1"/>
  <c r="BM18" i="12"/>
  <c r="BM14" i="12"/>
  <c r="BM10" i="12"/>
  <c r="I94" i="6" s="1"/>
  <c r="BM6" i="12"/>
  <c r="E94" i="6" s="1"/>
  <c r="AM17" i="12"/>
  <c r="BD8" i="12"/>
  <c r="G94" i="7" s="1"/>
  <c r="AD8" i="12"/>
  <c r="AL6" i="12"/>
  <c r="E95" i="9" s="1"/>
  <c r="D70" i="10"/>
  <c r="AV10" i="12"/>
  <c r="I96" i="10" s="1"/>
  <c r="AU3" i="12"/>
  <c r="B94" i="10" s="1"/>
  <c r="I22" i="12"/>
  <c r="BV11" i="12"/>
  <c r="J94" i="11" s="1"/>
  <c r="BV7" i="12"/>
  <c r="F94" i="11" s="1"/>
  <c r="BE3" i="12"/>
  <c r="B96" i="7" s="1"/>
  <c r="AC6" i="12"/>
  <c r="BW8" i="12"/>
  <c r="G96" i="11" s="1"/>
  <c r="BW6" i="12"/>
  <c r="E96" i="11" s="1"/>
  <c r="AU18" i="12"/>
  <c r="BD17" i="12"/>
  <c r="BD15" i="12"/>
  <c r="BM16" i="12"/>
  <c r="BM12" i="12"/>
  <c r="BM8" i="12"/>
  <c r="G94" i="6" s="1"/>
  <c r="BM4" i="12"/>
  <c r="C94" i="6" s="1"/>
  <c r="AV14" i="12"/>
  <c r="AD14" i="12"/>
  <c r="AV12" i="12"/>
  <c r="S13" i="12"/>
  <c r="U12" i="12" s="1"/>
  <c r="L24" i="12"/>
  <c r="BM11" i="12"/>
  <c r="J94" i="6" s="1"/>
  <c r="BW5" i="12"/>
  <c r="D96" i="11" s="1"/>
  <c r="BW3" i="12"/>
  <c r="B96" i="11" s="1"/>
  <c r="AU12" i="12"/>
  <c r="AC12" i="12"/>
  <c r="AC17" i="12"/>
  <c r="G70" i="7"/>
  <c r="Q19" i="12"/>
  <c r="I19" i="12"/>
  <c r="AD9" i="12"/>
  <c r="AD7" i="12"/>
  <c r="AD5" i="12"/>
  <c r="AD3" i="12"/>
  <c r="N20" i="12"/>
  <c r="AL7" i="12"/>
  <c r="F95" i="9" s="1"/>
  <c r="AM3" i="12"/>
  <c r="B97" i="9" s="1"/>
  <c r="K24" i="12"/>
  <c r="C24" i="12"/>
  <c r="BV9" i="12"/>
  <c r="H94" i="11" s="1"/>
  <c r="BV5" i="12"/>
  <c r="D94" i="11" s="1"/>
  <c r="BV14" i="12"/>
  <c r="AU13" i="12"/>
  <c r="BV15" i="12"/>
  <c r="BW17" i="12"/>
  <c r="AU16" i="12"/>
  <c r="D35" i="12"/>
  <c r="M20" i="12"/>
  <c r="E20" i="12"/>
  <c r="AM10" i="12"/>
  <c r="I97" i="9" s="1"/>
  <c r="AM8" i="12"/>
  <c r="G97" i="9" s="1"/>
  <c r="AL5" i="12"/>
  <c r="D95" i="9" s="1"/>
  <c r="R24" i="12"/>
  <c r="J24" i="12"/>
  <c r="BW10" i="12"/>
  <c r="I96" i="11" s="1"/>
  <c r="BV3" i="12"/>
  <c r="B94" i="11" s="1"/>
  <c r="BW13" i="12"/>
  <c r="AL17" i="12"/>
  <c r="S12" i="12"/>
  <c r="J21" i="12"/>
  <c r="Q24" i="12"/>
  <c r="I24" i="12"/>
  <c r="D170" i="6"/>
  <c r="D170" i="11"/>
  <c r="AM6" i="12"/>
  <c r="E97" i="9" s="1"/>
  <c r="Q21" i="12"/>
  <c r="I21" i="12"/>
  <c r="AV11" i="12"/>
  <c r="J96" i="10" s="1"/>
  <c r="P24" i="12"/>
  <c r="H24" i="12"/>
  <c r="BV10" i="12"/>
  <c r="I94" i="11" s="1"/>
  <c r="AL14" i="12"/>
  <c r="BV13" i="12"/>
  <c r="AD6" i="12"/>
  <c r="AD4" i="12"/>
  <c r="J20" i="12"/>
  <c r="AU11" i="12"/>
  <c r="J94" i="10" s="1"/>
  <c r="B95" i="7"/>
  <c r="O24" i="12"/>
  <c r="G24" i="12"/>
  <c r="BV6" i="12"/>
  <c r="E94" i="11" s="1"/>
  <c r="E97" i="11" s="1"/>
  <c r="AM12" i="12"/>
  <c r="BD18" i="12"/>
  <c r="BD16" i="12"/>
  <c r="BD14" i="12"/>
  <c r="BD12" i="12"/>
  <c r="BD10" i="12"/>
  <c r="I94" i="7" s="1"/>
  <c r="BD6" i="12"/>
  <c r="E94" i="7" s="1"/>
  <c r="BD4" i="12"/>
  <c r="C94" i="7" s="1"/>
  <c r="C95" i="7" s="1"/>
  <c r="BM17" i="12"/>
  <c r="BM15" i="12"/>
  <c r="BM13" i="12"/>
  <c r="BM9" i="12"/>
  <c r="H94" i="6" s="1"/>
  <c r="BM7" i="12"/>
  <c r="F94" i="6" s="1"/>
  <c r="BM5" i="12"/>
  <c r="D94" i="6" s="1"/>
  <c r="N24" i="12"/>
  <c r="F24" i="12"/>
  <c r="AC8" i="12"/>
  <c r="AL11" i="12"/>
  <c r="AU9" i="12"/>
  <c r="H94" i="10" s="1"/>
  <c r="AU7" i="12"/>
  <c r="F94" i="10" s="1"/>
  <c r="F95" i="10" s="1"/>
  <c r="M24" i="12"/>
  <c r="E24" i="12"/>
  <c r="BW9" i="12"/>
  <c r="H96" i="11" s="1"/>
  <c r="H97" i="11" s="1"/>
  <c r="BW7" i="12"/>
  <c r="F96" i="11" s="1"/>
  <c r="F95" i="11" s="1"/>
  <c r="BV4" i="12"/>
  <c r="C94" i="11" s="1"/>
  <c r="AU14" i="12"/>
  <c r="AV13" i="12"/>
  <c r="AD13" i="12"/>
  <c r="BW15" i="12"/>
  <c r="AC15" i="12"/>
  <c r="AV16" i="12"/>
  <c r="BE17" i="12"/>
  <c r="BE15" i="12"/>
  <c r="BE13" i="12"/>
  <c r="BE11" i="12"/>
  <c r="J96" i="7" s="1"/>
  <c r="BE9" i="12"/>
  <c r="H96" i="7" s="1"/>
  <c r="H70" i="10"/>
  <c r="O19" i="12"/>
  <c r="G19" i="12"/>
  <c r="AC4" i="12"/>
  <c r="P20" i="12"/>
  <c r="H20" i="12"/>
  <c r="AM4" i="12"/>
  <c r="C97" i="9" s="1"/>
  <c r="O21" i="12"/>
  <c r="G21" i="12"/>
  <c r="D170" i="10"/>
  <c r="J35" i="12"/>
  <c r="AC14" i="12"/>
  <c r="AM13" i="12"/>
  <c r="BV17" i="12"/>
  <c r="BW16" i="12"/>
  <c r="AC18" i="12"/>
  <c r="BE7" i="12"/>
  <c r="F96" i="7" s="1"/>
  <c r="BE5" i="12"/>
  <c r="D96" i="7" s="1"/>
  <c r="N19" i="12"/>
  <c r="F19" i="12"/>
  <c r="O20" i="12"/>
  <c r="G20" i="12"/>
  <c r="AL9" i="12"/>
  <c r="H95" i="9" s="1"/>
  <c r="N21" i="12"/>
  <c r="F21" i="12"/>
  <c r="AU4" i="12"/>
  <c r="C94" i="10" s="1"/>
  <c r="AL13" i="12"/>
  <c r="BW12" i="12"/>
  <c r="AU17" i="12"/>
  <c r="AL16" i="12"/>
  <c r="D24" i="12"/>
  <c r="S3" i="12"/>
  <c r="U2" i="12" s="1"/>
  <c r="M19" i="12"/>
  <c r="E19" i="12"/>
  <c r="S4" i="12"/>
  <c r="H72" i="9" s="1"/>
  <c r="AM5" i="12"/>
  <c r="D97" i="9" s="1"/>
  <c r="F20" i="12"/>
  <c r="M21" i="12"/>
  <c r="E21" i="12"/>
  <c r="AD17" i="12"/>
  <c r="BW18" i="12"/>
  <c r="D170" i="7"/>
  <c r="L19" i="12"/>
  <c r="D19" i="12"/>
  <c r="L21" i="12"/>
  <c r="D21" i="12"/>
  <c r="S11" i="12"/>
  <c r="U10" i="12" s="1"/>
  <c r="I71" i="9"/>
  <c r="K19" i="12"/>
  <c r="L20" i="12"/>
  <c r="D20" i="12"/>
  <c r="S7" i="12"/>
  <c r="U6" i="12" s="1"/>
  <c r="J70" i="10"/>
  <c r="B70" i="10"/>
  <c r="AV18" i="12"/>
  <c r="S9" i="12"/>
  <c r="D71" i="7" s="1"/>
  <c r="R20" i="12"/>
  <c r="C19" i="12"/>
  <c r="C169" i="11"/>
  <c r="R19" i="12"/>
  <c r="J19" i="12"/>
  <c r="AD11" i="12"/>
  <c r="K20" i="12"/>
  <c r="C20" i="12"/>
  <c r="AL10" i="12"/>
  <c r="I95" i="9" s="1"/>
  <c r="I98" i="9" s="1"/>
  <c r="AL8" i="12"/>
  <c r="G95" i="9" s="1"/>
  <c r="G96" i="9" s="1"/>
  <c r="AL3" i="12"/>
  <c r="B95" i="9" s="1"/>
  <c r="AU10" i="12"/>
  <c r="I94" i="10" s="1"/>
  <c r="I95" i="10" s="1"/>
  <c r="AV8" i="12"/>
  <c r="G96" i="10" s="1"/>
  <c r="AU5" i="12"/>
  <c r="D94" i="10" s="1"/>
  <c r="AC13" i="12"/>
  <c r="AU15" i="12"/>
  <c r="BM3" i="12"/>
  <c r="B94" i="6" s="1"/>
  <c r="C70" i="11"/>
  <c r="P19" i="12"/>
  <c r="H19" i="12"/>
  <c r="AC11" i="12"/>
  <c r="Q20" i="12"/>
  <c r="I20" i="12"/>
  <c r="AM11" i="12"/>
  <c r="J95" i="9" s="1"/>
  <c r="J96" i="9" s="1"/>
  <c r="AM9" i="12"/>
  <c r="H97" i="9" s="1"/>
  <c r="P21" i="12"/>
  <c r="H21" i="12"/>
  <c r="AV6" i="12"/>
  <c r="E96" i="10" s="1"/>
  <c r="BW14" i="12"/>
  <c r="AM16" i="12"/>
  <c r="AC16" i="12"/>
  <c r="BN3" i="12"/>
  <c r="B96" i="6" s="1"/>
  <c r="B97" i="7"/>
  <c r="B169" i="6"/>
  <c r="R34" i="12"/>
  <c r="C70" i="6"/>
  <c r="J23" i="12"/>
  <c r="B70" i="6"/>
  <c r="J70" i="6"/>
  <c r="S10" i="12"/>
  <c r="H71" i="6" s="1"/>
  <c r="E70" i="6"/>
  <c r="C33" i="12"/>
  <c r="C22" i="12"/>
  <c r="B70" i="7"/>
  <c r="S8" i="12"/>
  <c r="C21" i="12"/>
  <c r="J32" i="12"/>
  <c r="K21" i="12"/>
  <c r="S5" i="12"/>
  <c r="C71" i="9"/>
  <c r="D171" i="9"/>
  <c r="E30" i="12"/>
  <c r="R32" i="12"/>
  <c r="E71" i="9"/>
  <c r="S2" i="12"/>
  <c r="F71" i="9"/>
  <c r="S6" i="12"/>
  <c r="C70" i="10"/>
  <c r="C194" i="8"/>
  <c r="D194" i="8" s="1"/>
  <c r="E194" i="8" s="1"/>
  <c r="F194" i="8" s="1"/>
  <c r="G194" i="8" s="1"/>
  <c r="H194" i="8" s="1"/>
  <c r="I194" i="8" s="1"/>
  <c r="J194" i="8" s="1"/>
  <c r="C168" i="8"/>
  <c r="D168" i="8" s="1"/>
  <c r="E168" i="8" s="1"/>
  <c r="F168" i="8" s="1"/>
  <c r="G168" i="8" s="1"/>
  <c r="H168" i="8" s="1"/>
  <c r="I168" i="8" s="1"/>
  <c r="J168" i="8" s="1"/>
  <c r="I95" i="11" l="1"/>
  <c r="C97" i="11"/>
  <c r="D95" i="10"/>
  <c r="D97" i="7"/>
  <c r="F95" i="7"/>
  <c r="H95" i="6"/>
  <c r="G97" i="7"/>
  <c r="E97" i="6"/>
  <c r="C96" i="9"/>
  <c r="J97" i="7"/>
  <c r="F96" i="9"/>
  <c r="C97" i="6"/>
  <c r="F97" i="10"/>
  <c r="H95" i="11"/>
  <c r="B95" i="10"/>
  <c r="I95" i="6"/>
  <c r="J95" i="7"/>
  <c r="G97" i="10"/>
  <c r="F95" i="6"/>
  <c r="H95" i="7"/>
  <c r="H97" i="6"/>
  <c r="G95" i="7"/>
  <c r="E95" i="6"/>
  <c r="F98" i="9"/>
  <c r="D97" i="6"/>
  <c r="T12" i="12"/>
  <c r="G95" i="6"/>
  <c r="H98" i="9"/>
  <c r="D96" i="9"/>
  <c r="J97" i="10"/>
  <c r="J95" i="6"/>
  <c r="B97" i="11"/>
  <c r="G97" i="11"/>
  <c r="J97" i="11"/>
  <c r="J95" i="10"/>
  <c r="C97" i="10"/>
  <c r="B95" i="11"/>
  <c r="H97" i="7"/>
  <c r="I97" i="6"/>
  <c r="B97" i="10"/>
  <c r="C98" i="9"/>
  <c r="E98" i="9"/>
  <c r="D97" i="11"/>
  <c r="I96" i="9"/>
  <c r="F97" i="7"/>
  <c r="C95" i="11"/>
  <c r="F97" i="6"/>
  <c r="I97" i="7"/>
  <c r="G97" i="6"/>
  <c r="I97" i="10"/>
  <c r="E95" i="10"/>
  <c r="H97" i="10"/>
  <c r="E95" i="7"/>
  <c r="C95" i="6"/>
  <c r="H95" i="10"/>
  <c r="D71" i="10"/>
  <c r="G95" i="11"/>
  <c r="I95" i="7"/>
  <c r="D97" i="10"/>
  <c r="U8" i="12"/>
  <c r="E97" i="7"/>
  <c r="D95" i="6"/>
  <c r="E97" i="10"/>
  <c r="G98" i="9"/>
  <c r="B95" i="6"/>
  <c r="B96" i="9"/>
  <c r="J98" i="9"/>
  <c r="B97" i="6"/>
  <c r="H71" i="11"/>
  <c r="J95" i="11"/>
  <c r="T4" i="12"/>
  <c r="C97" i="7"/>
  <c r="D71" i="11"/>
  <c r="I97" i="11"/>
  <c r="E96" i="9"/>
  <c r="T2" i="12"/>
  <c r="D95" i="11"/>
  <c r="D71" i="6"/>
  <c r="D72" i="6" s="1"/>
  <c r="F97" i="11"/>
  <c r="E95" i="11"/>
  <c r="H96" i="9"/>
  <c r="D95" i="7"/>
  <c r="G95" i="10"/>
  <c r="B98" i="9"/>
  <c r="D98" i="9"/>
  <c r="C95" i="10"/>
  <c r="J97" i="6"/>
  <c r="T10" i="12"/>
  <c r="T8" i="12"/>
  <c r="H71" i="7"/>
  <c r="T6" i="12"/>
  <c r="H71" i="10"/>
  <c r="U4" i="12"/>
  <c r="D72" i="9"/>
  <c r="B95" i="8"/>
  <c r="D72" i="11" l="1"/>
  <c r="H72" i="6"/>
  <c r="H72" i="11"/>
  <c r="D72" i="7"/>
  <c r="H72" i="7"/>
  <c r="D72" i="10"/>
  <c r="H72" i="10"/>
  <c r="D73" i="9"/>
  <c r="H73" i="9"/>
  <c r="B93" i="8"/>
  <c r="B96" i="8" s="1"/>
  <c r="H93" i="8"/>
  <c r="G93" i="8"/>
  <c r="E95" i="8"/>
  <c r="C95" i="8"/>
  <c r="D95" i="8"/>
  <c r="I93" i="8"/>
  <c r="F93" i="8"/>
  <c r="J93" i="8"/>
  <c r="H95" i="8"/>
  <c r="C93" i="8"/>
  <c r="D93" i="8"/>
  <c r="I95" i="8"/>
  <c r="J95" i="8"/>
  <c r="E93" i="8"/>
  <c r="G95" i="8"/>
  <c r="F95" i="8"/>
  <c r="C92" i="8"/>
  <c r="D92" i="8" s="1"/>
  <c r="E92" i="8" s="1"/>
  <c r="F92" i="8" s="1"/>
  <c r="G92" i="8" s="1"/>
  <c r="H92" i="8" s="1"/>
  <c r="I92" i="8" s="1"/>
  <c r="J92" i="8" s="1"/>
  <c r="C69" i="8"/>
  <c r="D69" i="8" s="1"/>
  <c r="E69" i="8" s="1"/>
  <c r="F69" i="8" s="1"/>
  <c r="G69" i="8" s="1"/>
  <c r="H69" i="8" s="1"/>
  <c r="I69" i="8" s="1"/>
  <c r="J69" i="8" s="1"/>
  <c r="J169" i="8"/>
  <c r="I169" i="8"/>
  <c r="H169" i="8"/>
  <c r="G169" i="8"/>
  <c r="F169" i="8"/>
  <c r="E169" i="8"/>
  <c r="D169" i="8"/>
  <c r="C169" i="8"/>
  <c r="J70" i="8"/>
  <c r="I70" i="8"/>
  <c r="H70" i="8"/>
  <c r="G70" i="8"/>
  <c r="F70" i="8"/>
  <c r="C70" i="8"/>
  <c r="B70" i="8"/>
  <c r="D66" i="12"/>
  <c r="E66" i="12" s="1"/>
  <c r="F66" i="12" s="1"/>
  <c r="G66" i="12" s="1"/>
  <c r="H66" i="12" s="1"/>
  <c r="I66" i="12" s="1"/>
  <c r="J66" i="12" s="1"/>
  <c r="K66" i="12" s="1"/>
  <c r="L66" i="12" s="1"/>
  <c r="M66" i="12" s="1"/>
  <c r="N66" i="12" s="1"/>
  <c r="O66" i="12" s="1"/>
  <c r="P66" i="12" s="1"/>
  <c r="Q66" i="12" s="1"/>
  <c r="R66" i="12" s="1"/>
  <c r="D204" i="13"/>
  <c r="A204" i="13"/>
  <c r="D29" i="12"/>
  <c r="E29" i="12" s="1"/>
  <c r="F29" i="12" s="1"/>
  <c r="G29" i="12" s="1"/>
  <c r="H29" i="12" s="1"/>
  <c r="I29" i="12" s="1"/>
  <c r="J29" i="12" s="1"/>
  <c r="K29" i="12" s="1"/>
  <c r="L29" i="12" s="1"/>
  <c r="M29" i="12" s="1"/>
  <c r="N29" i="12" s="1"/>
  <c r="O29" i="12" s="1"/>
  <c r="P29" i="12" s="1"/>
  <c r="Q29" i="12" s="1"/>
  <c r="R29" i="12" s="1"/>
  <c r="B94" i="8" l="1"/>
  <c r="C94" i="8"/>
  <c r="H96" i="8"/>
  <c r="H94" i="8"/>
  <c r="G96" i="8"/>
  <c r="F96" i="8"/>
  <c r="I96" i="8"/>
  <c r="C96" i="8"/>
  <c r="J96" i="8"/>
  <c r="D94" i="8"/>
  <c r="I94" i="8"/>
  <c r="F94" i="8"/>
  <c r="E96" i="8"/>
  <c r="D170" i="8"/>
  <c r="B169" i="8"/>
  <c r="D96" i="8"/>
  <c r="E94" i="8"/>
  <c r="J94" i="8"/>
  <c r="M73" i="12"/>
  <c r="K73" i="12"/>
  <c r="J234" i="13" s="1"/>
  <c r="R73" i="12"/>
  <c r="G94" i="8"/>
  <c r="E70" i="8"/>
  <c r="D70" i="8"/>
  <c r="N73" i="12"/>
  <c r="O73" i="12"/>
  <c r="Q73" i="12"/>
  <c r="L73" i="12"/>
  <c r="P73" i="12"/>
  <c r="H71" i="8"/>
  <c r="W31" i="12"/>
  <c r="X31" i="12" s="1"/>
  <c r="Y31" i="12" s="1"/>
  <c r="Z31" i="12" s="1"/>
  <c r="AA31" i="12" s="1"/>
  <c r="AB31" i="12" s="1"/>
  <c r="AC31" i="12" s="1"/>
  <c r="AD31" i="12" s="1"/>
  <c r="AE31" i="12" s="1"/>
  <c r="AF31" i="12" s="1"/>
  <c r="AG31" i="12" s="1"/>
  <c r="AH31" i="12" s="1"/>
  <c r="AI31" i="12" s="1"/>
  <c r="AJ31" i="12" s="1"/>
  <c r="AK31" i="12" s="1"/>
  <c r="D18" i="12"/>
  <c r="E18" i="12" s="1"/>
  <c r="F18" i="12" s="1"/>
  <c r="G18" i="12" s="1"/>
  <c r="H18" i="12" s="1"/>
  <c r="I18" i="12" s="1"/>
  <c r="J18" i="12" s="1"/>
  <c r="K18" i="12" s="1"/>
  <c r="L18" i="12" s="1"/>
  <c r="M18" i="12" s="1"/>
  <c r="N18" i="12" s="1"/>
  <c r="O18" i="12" s="1"/>
  <c r="P18" i="12" s="1"/>
  <c r="Q18" i="12" s="1"/>
  <c r="R18" i="12" s="1"/>
  <c r="D1" i="12"/>
  <c r="E1" i="12" s="1"/>
  <c r="F1" i="12" s="1"/>
  <c r="G1" i="12" s="1"/>
  <c r="H1" i="12" s="1"/>
  <c r="I1" i="12" s="1"/>
  <c r="J1" i="12" s="1"/>
  <c r="K1" i="12" s="1"/>
  <c r="L1" i="12" s="1"/>
  <c r="M1" i="12" s="1"/>
  <c r="N1" i="12" s="1"/>
  <c r="O1" i="12" s="1"/>
  <c r="P1" i="12" s="1"/>
  <c r="Q1" i="12" s="1"/>
  <c r="R1" i="12" s="1"/>
  <c r="L36" i="12" l="1"/>
  <c r="AE33" i="12" s="1"/>
  <c r="P36" i="12"/>
  <c r="AI33" i="12" s="1"/>
  <c r="R36" i="12"/>
  <c r="AK33" i="12" s="1"/>
  <c r="N36" i="12"/>
  <c r="AG33" i="12" s="1"/>
  <c r="D71" i="8"/>
  <c r="D72" i="8" s="1"/>
  <c r="K36" i="12"/>
  <c r="AD33" i="12" s="1"/>
  <c r="J151" i="13" s="1"/>
  <c r="M36" i="12"/>
  <c r="AF33" i="12" s="1"/>
  <c r="O36" i="12"/>
  <c r="AH33" i="12" s="1"/>
  <c r="Q36" i="12"/>
  <c r="AJ33" i="12" s="1"/>
  <c r="N14" i="12"/>
  <c r="AG34" i="12" s="1"/>
  <c r="Q14" i="12"/>
  <c r="AJ34" i="12" s="1"/>
  <c r="R14" i="12"/>
  <c r="AK34" i="12" s="1"/>
  <c r="K14" i="12"/>
  <c r="AD34" i="12" s="1"/>
  <c r="P14" i="12"/>
  <c r="AI34" i="12" s="1"/>
  <c r="L14" i="12"/>
  <c r="AE34" i="12" s="1"/>
  <c r="M14" i="12"/>
  <c r="AF34" i="12" s="1"/>
  <c r="O14" i="12"/>
  <c r="AH34" i="12" s="1"/>
  <c r="AE32" i="12" l="1"/>
  <c r="AF32" i="12"/>
  <c r="AK32" i="12"/>
  <c r="AG32" i="12"/>
  <c r="AD32" i="12"/>
  <c r="J150" i="13" s="1"/>
  <c r="J152" i="13" s="1"/>
  <c r="AJ32" i="12"/>
  <c r="AI32" i="12"/>
  <c r="AH32" i="12"/>
  <c r="H72" i="8"/>
  <c r="Q25" i="12"/>
  <c r="O25" i="12"/>
  <c r="K25" i="12"/>
  <c r="J130" i="13" s="1"/>
  <c r="L25" i="12"/>
  <c r="M25" i="12"/>
  <c r="N25" i="12"/>
  <c r="P25" i="12"/>
  <c r="R25" i="12"/>
  <c r="F73" i="12" l="1"/>
  <c r="E234" i="13" s="1"/>
  <c r="I73" i="12"/>
  <c r="H234" i="13" s="1"/>
  <c r="E73" i="12"/>
  <c r="D234" i="13" s="1"/>
  <c r="I36" i="12"/>
  <c r="AB33" i="12" s="1"/>
  <c r="H151" i="13" s="1"/>
  <c r="E36" i="12"/>
  <c r="X33" i="12" s="1"/>
  <c r="D151" i="13" s="1"/>
  <c r="J25" i="12" l="1"/>
  <c r="I130" i="13" s="1"/>
  <c r="F14" i="12"/>
  <c r="Y34" i="12" s="1"/>
  <c r="B204" i="13"/>
  <c r="E206" i="13" s="1"/>
  <c r="J73" i="12"/>
  <c r="I234" i="13" s="1"/>
  <c r="J14" i="12"/>
  <c r="AC34" i="12" s="1"/>
  <c r="G73" i="12"/>
  <c r="F234" i="13" s="1"/>
  <c r="F204" i="13"/>
  <c r="H73" i="12"/>
  <c r="G234" i="13" s="1"/>
  <c r="C14" i="12"/>
  <c r="V34" i="12" s="1"/>
  <c r="C73" i="12"/>
  <c r="H25" i="12"/>
  <c r="G130" i="13" s="1"/>
  <c r="G14" i="12"/>
  <c r="Z34" i="12" s="1"/>
  <c r="D73" i="12"/>
  <c r="C234" i="13" s="1"/>
  <c r="H14" i="12"/>
  <c r="AA34" i="12" s="1"/>
  <c r="C78" i="12"/>
  <c r="C81" i="12"/>
  <c r="D14" i="12"/>
  <c r="W34" i="12" s="1"/>
  <c r="F36" i="12"/>
  <c r="Y33" i="12" s="1"/>
  <c r="E151" i="13" s="1"/>
  <c r="H36" i="12"/>
  <c r="AA33" i="12" s="1"/>
  <c r="G151" i="13" s="1"/>
  <c r="G36" i="12"/>
  <c r="Z33" i="12" s="1"/>
  <c r="F151" i="13" s="1"/>
  <c r="D36" i="12"/>
  <c r="W33" i="12" s="1"/>
  <c r="W32" i="12" s="1"/>
  <c r="C150" i="13" s="1"/>
  <c r="J36" i="12"/>
  <c r="AC33" i="12" s="1"/>
  <c r="I151" i="13" s="1"/>
  <c r="C79" i="12"/>
  <c r="C80" i="12"/>
  <c r="E14" i="12"/>
  <c r="X34" i="12" s="1"/>
  <c r="X32" i="12" s="1"/>
  <c r="D150" i="13" s="1"/>
  <c r="D152" i="13" s="1"/>
  <c r="I14" i="12"/>
  <c r="AB34" i="12" s="1"/>
  <c r="AB32" i="12" s="1"/>
  <c r="H150" i="13" s="1"/>
  <c r="H152" i="13" s="1"/>
  <c r="I25" i="12"/>
  <c r="H130" i="13" s="1"/>
  <c r="E205" i="13" l="1"/>
  <c r="B234" i="13"/>
  <c r="C236" i="13"/>
  <c r="AA32" i="12"/>
  <c r="G150" i="13" s="1"/>
  <c r="G152" i="13" s="1"/>
  <c r="C151" i="13"/>
  <c r="C152" i="13" s="1"/>
  <c r="Z32" i="12"/>
  <c r="F150" i="13" s="1"/>
  <c r="F152" i="13" s="1"/>
  <c r="AC32" i="12"/>
  <c r="I150" i="13" s="1"/>
  <c r="I152" i="13" s="1"/>
  <c r="Y32" i="12"/>
  <c r="E150" i="13" s="1"/>
  <c r="E152" i="13" s="1"/>
  <c r="D25" i="12"/>
  <c r="C130" i="13" s="1"/>
  <c r="G25" i="12"/>
  <c r="F130" i="13" s="1"/>
  <c r="C25" i="12"/>
  <c r="C36" i="12"/>
  <c r="F25" i="12"/>
  <c r="E130" i="13" s="1"/>
  <c r="E25" i="12"/>
  <c r="D130" i="13" s="1"/>
  <c r="C82" i="12"/>
  <c r="C154" i="13" l="1"/>
  <c r="V33" i="12"/>
  <c r="B130" i="13"/>
  <c r="H153" i="13"/>
  <c r="H154" i="13" l="1"/>
  <c r="B151" i="13"/>
  <c r="V32" i="12"/>
  <c r="B150" i="13" s="1"/>
  <c r="B152" i="13" l="1"/>
</calcChain>
</file>

<file path=xl/sharedStrings.xml><?xml version="1.0" encoding="utf-8"?>
<sst xmlns="http://schemas.openxmlformats.org/spreadsheetml/2006/main" count="545" uniqueCount="285">
  <si>
    <t>Tahun</t>
  </si>
  <si>
    <t>*dalam unit</t>
  </si>
  <si>
    <t>Jumlah Klaim*</t>
  </si>
  <si>
    <t>Polis ACA *</t>
  </si>
  <si>
    <t>Polis Inward*</t>
  </si>
  <si>
    <t>*jumlah polis  dalam unit</t>
  </si>
  <si>
    <t>Lama Update &gt; 30 hari*</t>
  </si>
  <si>
    <t>*Jumlah Klaim dalam unit</t>
  </si>
  <si>
    <t>No. Klaim</t>
  </si>
  <si>
    <t>Alasan</t>
  </si>
  <si>
    <t>Solusi ditawarkan</t>
  </si>
  <si>
    <t>Nama Tertanggung</t>
  </si>
  <si>
    <t xml:space="preserve">2.3. Klaim dalam Pantauan </t>
  </si>
  <si>
    <r>
      <t xml:space="preserve">2.1. Klaim </t>
    </r>
    <r>
      <rPr>
        <b/>
        <i/>
        <sz val="12"/>
        <rFont val="Times New Roman"/>
        <family val="1"/>
      </rPr>
      <t>Settled</t>
    </r>
    <r>
      <rPr>
        <b/>
        <sz val="12"/>
        <rFont val="Times New Roman"/>
        <family val="1"/>
      </rPr>
      <t xml:space="preserve"> dan </t>
    </r>
    <r>
      <rPr>
        <b/>
        <i/>
        <sz val="12"/>
        <rFont val="Times New Roman"/>
        <family val="1"/>
      </rPr>
      <t>Outstanding</t>
    </r>
  </si>
  <si>
    <t>Casualty</t>
  </si>
  <si>
    <t>CPM</t>
  </si>
  <si>
    <t>Fire</t>
  </si>
  <si>
    <t>Cargo</t>
  </si>
  <si>
    <t>Hull</t>
  </si>
  <si>
    <t>Engineering</t>
  </si>
  <si>
    <t>Bank Mandiri (persero) Tbk qq Pelayaran Alkan Abadi qq Rickey Sujatno</t>
  </si>
  <si>
    <t>tgl. 06.07.2017 info tertanggung mengalami pailit, tgl 18.10.16 kirim penawaran ganti rugi</t>
  </si>
  <si>
    <t>29.31.16.490017</t>
  </si>
  <si>
    <t>Kezia Celine Wibowo</t>
  </si>
  <si>
    <t>29.31.17.130016</t>
  </si>
  <si>
    <t>Sinar Galaxy</t>
  </si>
  <si>
    <t>Jumlah Klaim</t>
  </si>
  <si>
    <t>Sub jumlah</t>
  </si>
  <si>
    <t>Jumlah</t>
  </si>
  <si>
    <t>Otstanding</t>
  </si>
  <si>
    <t>Settled</t>
  </si>
  <si>
    <t>Outstanding</t>
  </si>
  <si>
    <t>Total</t>
  </si>
  <si>
    <t>Jumlah Otstanding</t>
  </si>
  <si>
    <t>Jumlah Setled</t>
  </si>
  <si>
    <t>Jumlah Dipantau</t>
  </si>
  <si>
    <t>fire</t>
  </si>
  <si>
    <t>hull</t>
  </si>
  <si>
    <t>Engneering</t>
  </si>
  <si>
    <t>0 day -7 days</t>
  </si>
  <si>
    <t>7 days - 14 day</t>
  </si>
  <si>
    <t>14 days - 30 days</t>
  </si>
  <si>
    <t>&gt; 30 days</t>
  </si>
  <si>
    <t>*jumlah klaim dalam unit</t>
  </si>
  <si>
    <t>Klaim</t>
  </si>
  <si>
    <t xml:space="preserve">1.2 Kinerja Klaim Non Kendaraan Bermotor PT. Asuransi Central Asia cabang Surabaya 1 </t>
  </si>
  <si>
    <t>klaim</t>
  </si>
  <si>
    <t>1.3 Klaim Dalam Pantauan</t>
  </si>
  <si>
    <r>
      <t xml:space="preserve">Gambar 1.8 merupakan persentase klaim yang dipantau berdasarakan periode waktu </t>
    </r>
    <r>
      <rPr>
        <i/>
        <sz val="12"/>
        <rFont val="Times New Roman"/>
        <family val="1"/>
      </rPr>
      <t>update</t>
    </r>
    <r>
      <rPr>
        <sz val="12"/>
        <rFont val="Times New Roman"/>
        <family val="1"/>
      </rPr>
      <t xml:space="preserve"> klaim non kendaraan bermotor PT. Asuransi Central Asia cabang Surabaya 1 </t>
    </r>
  </si>
  <si>
    <t>Jumlah Klaim*,**</t>
  </si>
  <si>
    <t>** Jumlah klaim seluruhnya</t>
  </si>
  <si>
    <r>
      <t xml:space="preserve">Gambar 1.8. Persentase Periode Waktu </t>
    </r>
    <r>
      <rPr>
        <b/>
        <i/>
        <sz val="12"/>
        <rFont val="Times New Roman"/>
        <family val="1"/>
      </rPr>
      <t>Update</t>
    </r>
    <r>
      <rPr>
        <b/>
        <sz val="12"/>
        <rFont val="Times New Roman"/>
        <family val="1"/>
      </rPr>
      <t xml:space="preserve"> pada Jumlah Klaim yang Dipantau                                 PT. Asuransi Central Asia cabang Surabaya 1 </t>
    </r>
  </si>
  <si>
    <t xml:space="preserve">3.3. Klaim dalam Pantauan </t>
  </si>
  <si>
    <t xml:space="preserve">4.3. Klaim dalam Pantauan </t>
  </si>
  <si>
    <t xml:space="preserve">5.3. Klaim dalam Pantauan </t>
  </si>
  <si>
    <t xml:space="preserve">6.3. Klaim dalam Pantauan </t>
  </si>
  <si>
    <t xml:space="preserve">7.3. Klaim dalam Pantauan </t>
  </si>
  <si>
    <t>12.31.15.000007</t>
  </si>
  <si>
    <t>01.31.14.000100</t>
  </si>
  <si>
    <t>Deverindo Indograha Raya and/or ascott international management indonesia and/or somerset surabaya</t>
  </si>
  <si>
    <t>tanggal 19.06.17 Permintaan Pak Surya disuruh biarkan</t>
  </si>
  <si>
    <t>01.31.13.000048</t>
  </si>
  <si>
    <t>Deverindo Indograha Raya</t>
  </si>
  <si>
    <t>01.31.10.000077</t>
  </si>
  <si>
    <t>Juliati Boddhiya</t>
  </si>
  <si>
    <t>Dokumen Hard Copy Tidak Ada</t>
  </si>
  <si>
    <t>Pakerin</t>
  </si>
  <si>
    <t>Outstanding*, ***</t>
  </si>
  <si>
    <t>Settled*, **</t>
  </si>
  <si>
    <t>Persentase settled ****</t>
  </si>
  <si>
    <t xml:space="preserve">Gambar 1.7 merupakan jumlah klaim yang masih dalam pantauan divisi klaim non kendaraan bermotor PT. Asuransi Central Asia cabang Surabaya 1 </t>
  </si>
  <si>
    <r>
      <t xml:space="preserve">Dari data pada gambar 2.1 rincian jenis polis dan </t>
    </r>
    <r>
      <rPr>
        <i/>
        <sz val="12"/>
        <rFont val="Times New Roman"/>
        <family val="1"/>
      </rPr>
      <t>otority</t>
    </r>
    <r>
      <rPr>
        <sz val="12"/>
        <rFont val="Times New Roman"/>
        <family val="1"/>
      </rPr>
      <t xml:space="preserve"> penanganan klaim dijelaskan pada gambar berikut ini.</t>
    </r>
  </si>
  <si>
    <r>
      <t>Salah satu pengukuran kinerja dari divisi klaim adalah jumlah klaim yang berhail diselesaikan (</t>
    </r>
    <r>
      <rPr>
        <i/>
        <sz val="12"/>
        <rFont val="Times New Roman"/>
        <family val="1"/>
      </rPr>
      <t>settled</t>
    </r>
    <r>
      <rPr>
        <sz val="12"/>
        <rFont val="Times New Roman"/>
        <family val="1"/>
      </rPr>
      <t xml:space="preserve">), gambar 2.4 merupakan perbandingan jumlah klaim </t>
    </r>
    <r>
      <rPr>
        <i/>
        <sz val="12"/>
        <rFont val="Times New Roman"/>
        <family val="1"/>
      </rPr>
      <t>Fire</t>
    </r>
    <r>
      <rPr>
        <sz val="12"/>
        <rFont val="Times New Roman"/>
        <family val="1"/>
      </rPr>
      <t xml:space="preserve"> dengan status </t>
    </r>
    <r>
      <rPr>
        <i/>
        <sz val="12"/>
        <rFont val="Times New Roman"/>
        <family val="1"/>
      </rPr>
      <t>settled</t>
    </r>
    <r>
      <rPr>
        <sz val="12"/>
        <rFont val="Times New Roman"/>
        <family val="1"/>
      </rPr>
      <t xml:space="preserve"> dalam bulan berjalan dari tahun sebelumnya pada divisi klaim non kendaraan bermotor PT. Asuransi Central Asia cabang Surabaya 1.</t>
    </r>
  </si>
  <si>
    <t xml:space="preserve">*dalam unit       </t>
  </si>
  <si>
    <r>
      <t xml:space="preserve"> **Jumlah </t>
    </r>
    <r>
      <rPr>
        <i/>
        <sz val="10"/>
        <rFont val="Arial"/>
        <family val="2"/>
      </rPr>
      <t>Outstanding</t>
    </r>
  </si>
  <si>
    <r>
      <t xml:space="preserve"> **Jumlah </t>
    </r>
    <r>
      <rPr>
        <i/>
        <sz val="10"/>
        <rFont val="Arial"/>
        <family val="2"/>
      </rPr>
      <t>Settled</t>
    </r>
  </si>
  <si>
    <t xml:space="preserve"> **Total</t>
  </si>
  <si>
    <r>
      <t xml:space="preserve">**** Persentase </t>
    </r>
    <r>
      <rPr>
        <i/>
        <sz val="9"/>
        <rFont val="Arial"/>
        <family val="2"/>
      </rPr>
      <t>Settled</t>
    </r>
  </si>
  <si>
    <r>
      <t xml:space="preserve">*** Jumlah </t>
    </r>
    <r>
      <rPr>
        <i/>
        <sz val="10"/>
        <rFont val="Arial"/>
        <family val="2"/>
      </rPr>
      <t>Settled</t>
    </r>
  </si>
  <si>
    <r>
      <t xml:space="preserve">***jumlah </t>
    </r>
    <r>
      <rPr>
        <i/>
        <sz val="10"/>
        <rFont val="Arial"/>
        <family val="2"/>
      </rPr>
      <t>Outstanding</t>
    </r>
  </si>
  <si>
    <r>
      <t xml:space="preserve">Dari gambar 1.8 secara detail klaim dengan periode </t>
    </r>
    <r>
      <rPr>
        <i/>
        <sz val="12"/>
        <rFont val="Times New Roman"/>
        <family val="1"/>
      </rPr>
      <t>update</t>
    </r>
    <r>
      <rPr>
        <sz val="12"/>
        <rFont val="Times New Roman"/>
        <family val="1"/>
      </rPr>
      <t xml:space="preserve"> lebih dari 30 hari, dapat dilihat pada gambar 1.9 berdasarkan LOB.</t>
    </r>
  </si>
  <si>
    <r>
      <t xml:space="preserve">Gambar 1.9. Jumlah Klaim Berdasarkan LOB pada Periode </t>
    </r>
    <r>
      <rPr>
        <b/>
        <sz val="12"/>
        <rFont val="Times New Roman"/>
        <family val="1"/>
      </rPr>
      <t xml:space="preserve">Waktu </t>
    </r>
    <r>
      <rPr>
        <b/>
        <i/>
        <sz val="12"/>
        <rFont val="Times New Roman"/>
        <family val="1"/>
      </rPr>
      <t>Update</t>
    </r>
    <r>
      <rPr>
        <b/>
        <sz val="12"/>
        <rFont val="Times New Roman"/>
        <family val="1"/>
      </rPr>
      <t xml:space="preserve"> Lebih dari 30 Hari</t>
    </r>
  </si>
  <si>
    <r>
      <t xml:space="preserve">Jumlah kejadian dengan kategori klaim </t>
    </r>
    <r>
      <rPr>
        <i/>
        <sz val="12"/>
        <rFont val="Times New Roman"/>
        <family val="1"/>
      </rPr>
      <t xml:space="preserve">Fire </t>
    </r>
    <r>
      <rPr>
        <sz val="12"/>
        <rFont val="Times New Roman"/>
        <family val="1"/>
      </rPr>
      <t>yang masuk pada PT. Asuransi Central Asia cabang Surabaya 1 bervariasi setiap bulan, berikut ini gambar grafik jumlah klaim berdasarkan waktu kejadian.</t>
    </r>
  </si>
  <si>
    <t>Dari data gambar 2.6 secara akumalasi berdasarkan kategori, dijelaskan pada gambar berikut ini.</t>
  </si>
  <si>
    <t>No.</t>
  </si>
  <si>
    <r>
      <t xml:space="preserve">Tanggal </t>
    </r>
    <r>
      <rPr>
        <b/>
        <i/>
        <sz val="12"/>
        <rFont val="Times New Roman"/>
        <family val="1"/>
      </rPr>
      <t>Update</t>
    </r>
  </si>
  <si>
    <r>
      <t xml:space="preserve">Status </t>
    </r>
    <r>
      <rPr>
        <b/>
        <i/>
        <sz val="12"/>
        <rFont val="Times New Roman"/>
        <family val="1"/>
      </rPr>
      <t>Update</t>
    </r>
  </si>
  <si>
    <r>
      <t xml:space="preserve">Tabel 2.1. Data Klaim </t>
    </r>
    <r>
      <rPr>
        <b/>
        <i/>
        <sz val="12"/>
        <rFont val="Times New Roman"/>
        <family val="1"/>
      </rPr>
      <t>Fire</t>
    </r>
    <r>
      <rPr>
        <b/>
        <sz val="12"/>
        <rFont val="Times New Roman"/>
        <family val="1"/>
      </rPr>
      <t xml:space="preserve"> yang Bermasalah</t>
    </r>
  </si>
  <si>
    <r>
      <t xml:space="preserve">Adapun perbandingan klaim </t>
    </r>
    <r>
      <rPr>
        <i/>
        <sz val="12"/>
        <rFont val="Times New Roman"/>
        <family val="1"/>
      </rPr>
      <t>CPM</t>
    </r>
    <r>
      <rPr>
        <sz val="12"/>
        <rFont val="Times New Roman"/>
        <family val="1"/>
      </rPr>
      <t xml:space="preserve"> dengan status </t>
    </r>
    <r>
      <rPr>
        <i/>
        <sz val="12"/>
        <rFont val="Times New Roman"/>
        <family val="1"/>
      </rPr>
      <t>settled</t>
    </r>
    <r>
      <rPr>
        <sz val="12"/>
        <rFont val="Times New Roman"/>
        <family val="1"/>
      </rPr>
      <t xml:space="preserve"> dan </t>
    </r>
    <r>
      <rPr>
        <i/>
        <sz val="12"/>
        <rFont val="Times New Roman"/>
        <family val="1"/>
      </rPr>
      <t>outstanding</t>
    </r>
    <r>
      <rPr>
        <sz val="12"/>
        <rFont val="Times New Roman"/>
        <family val="1"/>
      </rPr>
      <t xml:space="preserve"> di PT.Asuransi Central Asia cabang Surabaya 1, dijelaskan pada gambar berikut ini.</t>
    </r>
  </si>
  <si>
    <r>
      <t xml:space="preserve">Adapun perbandingan klaim </t>
    </r>
    <r>
      <rPr>
        <i/>
        <sz val="12"/>
        <rFont val="Times New Roman"/>
        <family val="1"/>
      </rPr>
      <t>Engineering</t>
    </r>
    <r>
      <rPr>
        <sz val="12"/>
        <rFont val="Times New Roman"/>
        <family val="1"/>
      </rPr>
      <t xml:space="preserve"> dengan status </t>
    </r>
    <r>
      <rPr>
        <i/>
        <sz val="12"/>
        <rFont val="Times New Roman"/>
        <family val="1"/>
      </rPr>
      <t>settled</t>
    </r>
    <r>
      <rPr>
        <sz val="12"/>
        <rFont val="Times New Roman"/>
        <family val="1"/>
      </rPr>
      <t xml:space="preserve"> dan </t>
    </r>
    <r>
      <rPr>
        <i/>
        <sz val="12"/>
        <rFont val="Times New Roman"/>
        <family val="1"/>
      </rPr>
      <t>outstanding</t>
    </r>
    <r>
      <rPr>
        <sz val="12"/>
        <rFont val="Times New Roman"/>
        <family val="1"/>
      </rPr>
      <t xml:space="preserve"> di PT.Asuransi Central Asia cabang Surabaya 1, dijelaskan pada gambar berikut ini.</t>
    </r>
  </si>
  <si>
    <r>
      <t xml:space="preserve">Adapun perbandingan klaim </t>
    </r>
    <r>
      <rPr>
        <i/>
        <sz val="12"/>
        <rFont val="Times New Roman"/>
        <family val="1"/>
      </rPr>
      <t>Casualty</t>
    </r>
    <r>
      <rPr>
        <sz val="12"/>
        <rFont val="Times New Roman"/>
        <family val="1"/>
      </rPr>
      <t xml:space="preserve"> dengan status </t>
    </r>
    <r>
      <rPr>
        <i/>
        <sz val="12"/>
        <rFont val="Times New Roman"/>
        <family val="1"/>
      </rPr>
      <t>settled</t>
    </r>
    <r>
      <rPr>
        <sz val="12"/>
        <rFont val="Times New Roman"/>
        <family val="1"/>
      </rPr>
      <t xml:space="preserve"> dan </t>
    </r>
    <r>
      <rPr>
        <i/>
        <sz val="12"/>
        <rFont val="Times New Roman"/>
        <family val="1"/>
      </rPr>
      <t>outstanding</t>
    </r>
    <r>
      <rPr>
        <sz val="12"/>
        <rFont val="Times New Roman"/>
        <family val="1"/>
      </rPr>
      <t xml:space="preserve"> di PT.Asuransi Central Asia cabang Surabaya 1, dijelaskan pada gambar berikut ini.</t>
    </r>
  </si>
  <si>
    <r>
      <t xml:space="preserve">Adapun perbandingan klaim </t>
    </r>
    <r>
      <rPr>
        <i/>
        <sz val="12"/>
        <rFont val="Times New Roman"/>
        <family val="1"/>
      </rPr>
      <t>Hull</t>
    </r>
    <r>
      <rPr>
        <sz val="12"/>
        <rFont val="Times New Roman"/>
        <family val="1"/>
      </rPr>
      <t xml:space="preserve"> dengan status </t>
    </r>
    <r>
      <rPr>
        <i/>
        <sz val="12"/>
        <rFont val="Times New Roman"/>
        <family val="1"/>
      </rPr>
      <t>settled</t>
    </r>
    <r>
      <rPr>
        <sz val="12"/>
        <rFont val="Times New Roman"/>
        <family val="1"/>
      </rPr>
      <t xml:space="preserve"> dan </t>
    </r>
    <r>
      <rPr>
        <i/>
        <sz val="12"/>
        <rFont val="Times New Roman"/>
        <family val="1"/>
      </rPr>
      <t>outstanding</t>
    </r>
    <r>
      <rPr>
        <sz val="12"/>
        <rFont val="Times New Roman"/>
        <family val="1"/>
      </rPr>
      <t xml:space="preserve"> di PT.Asuransi Central Asia cabang Surabaya 1, dijelaskan pada gambar berikut ini.</t>
    </r>
  </si>
  <si>
    <r>
      <t>Dari data pada gambar 3.1 rincian jenis polis dan</t>
    </r>
    <r>
      <rPr>
        <i/>
        <sz val="12"/>
        <rFont val="Times New Roman"/>
        <family val="1"/>
      </rPr>
      <t xml:space="preserve"> otority </t>
    </r>
    <r>
      <rPr>
        <sz val="12"/>
        <rFont val="Times New Roman"/>
        <family val="1"/>
      </rPr>
      <t>penanganan klaim dijelaskan pada gambar berikut ini.</t>
    </r>
  </si>
  <si>
    <r>
      <t xml:space="preserve">Dari data pada gambar 4.1 rincian jenis polis dan </t>
    </r>
    <r>
      <rPr>
        <i/>
        <sz val="12"/>
        <rFont val="Times New Roman"/>
        <family val="1"/>
      </rPr>
      <t>otority</t>
    </r>
    <r>
      <rPr>
        <sz val="12"/>
        <rFont val="Times New Roman"/>
        <family val="1"/>
      </rPr>
      <t xml:space="preserve"> penanganan klaim dijelaskan pada gambar berikut ini.</t>
    </r>
  </si>
  <si>
    <r>
      <t xml:space="preserve">Dari data pada gambar 5.1 rincian jenis polis dan </t>
    </r>
    <r>
      <rPr>
        <i/>
        <sz val="12"/>
        <rFont val="Times New Roman"/>
        <family val="1"/>
      </rPr>
      <t>otority</t>
    </r>
    <r>
      <rPr>
        <sz val="12"/>
        <rFont val="Times New Roman"/>
        <family val="1"/>
      </rPr>
      <t xml:space="preserve"> penanganan klaim dijelaskan pada gambar berikut ini.</t>
    </r>
  </si>
  <si>
    <r>
      <t xml:space="preserve">Dari data pada gambar 6.1 rincian jenis polis dan </t>
    </r>
    <r>
      <rPr>
        <i/>
        <sz val="12"/>
        <rFont val="Times New Roman"/>
        <family val="1"/>
      </rPr>
      <t>otority</t>
    </r>
    <r>
      <rPr>
        <sz val="12"/>
        <rFont val="Times New Roman"/>
        <family val="1"/>
      </rPr>
      <t xml:space="preserve"> penanganan klaim dijelaskan pada gambar berikut ini.</t>
    </r>
  </si>
  <si>
    <r>
      <t xml:space="preserve">Dari data pada gambar 7.1 rincian jenis polis dan </t>
    </r>
    <r>
      <rPr>
        <i/>
        <sz val="12"/>
        <rFont val="Times New Roman"/>
        <family val="1"/>
      </rPr>
      <t>otority</t>
    </r>
    <r>
      <rPr>
        <sz val="12"/>
        <rFont val="Times New Roman"/>
        <family val="1"/>
      </rPr>
      <t xml:space="preserve"> penanganan klaim dijelaskan pada gambar berikut ini.</t>
    </r>
  </si>
  <si>
    <r>
      <t xml:space="preserve">Jumlah kejadian dengan kategori klaim </t>
    </r>
    <r>
      <rPr>
        <i/>
        <sz val="12"/>
        <rFont val="Times New Roman"/>
        <family val="1"/>
      </rPr>
      <t>cargo</t>
    </r>
    <r>
      <rPr>
        <sz val="12"/>
        <rFont val="Times New Roman"/>
        <family val="1"/>
      </rPr>
      <t xml:space="preserve"> yang masuk pada PT. Asuransi Central Asia cabang Surabaya 1 bervariasi setiap bulan, berikut ini gambar grafik jumlah klaim berdasarkan waktu kejadian.</t>
    </r>
  </si>
  <si>
    <t>Dari data gambar 3.6 secara akumalasi berdasarkan kategori, dijelaskan pada gambar berikut ini.</t>
  </si>
  <si>
    <r>
      <t xml:space="preserve">Jumlah kejadian dengan kategori klaim </t>
    </r>
    <r>
      <rPr>
        <i/>
        <sz val="12"/>
        <rFont val="Times New Roman"/>
        <family val="1"/>
      </rPr>
      <t>CPM</t>
    </r>
    <r>
      <rPr>
        <sz val="12"/>
        <rFont val="Times New Roman"/>
        <family val="1"/>
      </rPr>
      <t xml:space="preserve"> yang masuk pada PT. Asuransi Central Asia cabang Surabaya 1 bervariasi setiap bulan, berikut ini gambar grafik jumlah klaim berdasarkan waktu kejadian.</t>
    </r>
  </si>
  <si>
    <t>Dari data gambar 4.6 secara akumalasi berdasarkan kategori, dijelaskan pada gambar berikut ini.</t>
  </si>
  <si>
    <r>
      <t>Jumlah kejadian dengan kategori klaim</t>
    </r>
    <r>
      <rPr>
        <i/>
        <sz val="12"/>
        <rFont val="Times New Roman"/>
        <family val="1"/>
      </rPr>
      <t xml:space="preserve"> hull</t>
    </r>
    <r>
      <rPr>
        <sz val="12"/>
        <rFont val="Times New Roman"/>
        <family val="1"/>
      </rPr>
      <t xml:space="preserve"> yang masuk pada PT. Asuransi Central Asia cabang Surabaya 1 bervariasi setiap bulan, berikut ini gambar grafik jumlah klaim berdasarkan waktu kejadian.</t>
    </r>
  </si>
  <si>
    <r>
      <t>Salah satu pengukuran kinerja dari divisi klaim adalah jumlah klaim yang berhail diselesaikan (</t>
    </r>
    <r>
      <rPr>
        <i/>
        <sz val="12"/>
        <rFont val="Times New Roman"/>
        <family val="1"/>
      </rPr>
      <t>settled</t>
    </r>
    <r>
      <rPr>
        <sz val="12"/>
        <rFont val="Times New Roman"/>
        <family val="1"/>
      </rPr>
      <t>), gambar 5.4 merupakan perbandingan jumlah klaim</t>
    </r>
    <r>
      <rPr>
        <i/>
        <sz val="12"/>
        <rFont val="Times New Roman"/>
        <family val="1"/>
      </rPr>
      <t xml:space="preserve"> hull </t>
    </r>
    <r>
      <rPr>
        <sz val="12"/>
        <rFont val="Times New Roman"/>
        <family val="1"/>
      </rPr>
      <t>dengan status</t>
    </r>
    <r>
      <rPr>
        <i/>
        <sz val="12"/>
        <rFont val="Times New Roman"/>
        <family val="1"/>
      </rPr>
      <t xml:space="preserve"> settled</t>
    </r>
    <r>
      <rPr>
        <sz val="12"/>
        <rFont val="Times New Roman"/>
        <family val="1"/>
      </rPr>
      <t xml:space="preserve"> dalam bulan berjalan dari tahun sebelumnya pada divisi klaim non kendaraan bermotor PT. Asuransi Central Asia cabang Surabaya 1.</t>
    </r>
  </si>
  <si>
    <r>
      <t>Salah satu pengukuran kinerja dari divisi klaim adalah jumlah klaim yang berhail diselesaikan</t>
    </r>
    <r>
      <rPr>
        <i/>
        <sz val="12"/>
        <rFont val="Times New Roman"/>
        <family val="1"/>
      </rPr>
      <t xml:space="preserve"> (settled</t>
    </r>
    <r>
      <rPr>
        <sz val="12"/>
        <rFont val="Times New Roman"/>
        <family val="1"/>
      </rPr>
      <t xml:space="preserve">), gambar 3.4 merupakan perbandingan jumlah klaim </t>
    </r>
    <r>
      <rPr>
        <i/>
        <sz val="12"/>
        <rFont val="Times New Roman"/>
        <family val="1"/>
      </rPr>
      <t>cargo</t>
    </r>
    <r>
      <rPr>
        <sz val="12"/>
        <rFont val="Times New Roman"/>
        <family val="1"/>
      </rPr>
      <t xml:space="preserve"> dengan status </t>
    </r>
    <r>
      <rPr>
        <i/>
        <sz val="12"/>
        <rFont val="Times New Roman"/>
        <family val="1"/>
      </rPr>
      <t xml:space="preserve">settled </t>
    </r>
    <r>
      <rPr>
        <sz val="12"/>
        <rFont val="Times New Roman"/>
        <family val="1"/>
      </rPr>
      <t>dalam bulan berjalan dari tahun sebelumnya pada divisi klaim non kendaraan bermotor PT. Asuransi Central Asia cabang Surabaya 1.</t>
    </r>
  </si>
  <si>
    <t>Gambar 2.5. Jumlah Klaim yang Dipantau Berdasarkan Tahun Register</t>
  </si>
  <si>
    <t>Gambar 2.6. Jumlah Klaim yang Dipantau Berdasarkan Tahun Register</t>
  </si>
  <si>
    <r>
      <t xml:space="preserve">Gambar 2.8. Jumlah Klaim yang Dipantau Berdasarkan Lama Waktu </t>
    </r>
    <r>
      <rPr>
        <b/>
        <i/>
        <sz val="12"/>
        <rFont val="Times New Roman"/>
        <family val="1"/>
      </rPr>
      <t>Update</t>
    </r>
  </si>
  <si>
    <t>Gambar 2.1 Jumlah Klaim Berdasarkan Tahun Register dan Kondisi Klaim</t>
  </si>
  <si>
    <t>Gambar 3.1 Jumlah Klaim Berdasarkan Tahun Register dan Kondisi Klaim</t>
  </si>
  <si>
    <t>Gambar 3.5. Jumlah Klaim yang Dipantau Berdasarkan Tahun Register</t>
  </si>
  <si>
    <t>Gambar 3.6. Jumlah Klaim yang Dipantau Berdasarkan Tahun Register</t>
  </si>
  <si>
    <r>
      <t>Salah satu pengukuran kinerja dari divisi klaim adalah jumlah klaim yang berhail diselesaikan</t>
    </r>
    <r>
      <rPr>
        <i/>
        <sz val="12"/>
        <rFont val="Times New Roman"/>
        <family val="1"/>
      </rPr>
      <t xml:space="preserve"> (settled</t>
    </r>
    <r>
      <rPr>
        <sz val="12"/>
        <rFont val="Times New Roman"/>
        <family val="1"/>
      </rPr>
      <t xml:space="preserve">), gambar 4.4 merupakan perbandingan jumlah klaim </t>
    </r>
    <r>
      <rPr>
        <i/>
        <sz val="12"/>
        <rFont val="Times New Roman"/>
        <family val="1"/>
      </rPr>
      <t>CPM</t>
    </r>
    <r>
      <rPr>
        <sz val="12"/>
        <rFont val="Times New Roman"/>
        <family val="1"/>
      </rPr>
      <t xml:space="preserve"> dengan status </t>
    </r>
    <r>
      <rPr>
        <i/>
        <sz val="12"/>
        <rFont val="Times New Roman"/>
        <family val="1"/>
      </rPr>
      <t>settled</t>
    </r>
    <r>
      <rPr>
        <sz val="12"/>
        <rFont val="Times New Roman"/>
        <family val="1"/>
      </rPr>
      <t xml:space="preserve"> dalam bulan berjalan dari tahun sebelumnya pada divisi klaim non kendaraan bermotor PT. Asuransi Central Asia cabang Surabaya 1.</t>
    </r>
  </si>
  <si>
    <t>Dari data gambar 5.6 secara akumalasi berdasarkan kategori, dijelaskan pada gambar berikut ini.</t>
  </si>
  <si>
    <r>
      <t xml:space="preserve">Jumlah kejadian dengan kategori klaim </t>
    </r>
    <r>
      <rPr>
        <i/>
        <sz val="12"/>
        <rFont val="Times New Roman"/>
        <family val="1"/>
      </rPr>
      <t xml:space="preserve">Casualty </t>
    </r>
    <r>
      <rPr>
        <sz val="12"/>
        <rFont val="Times New Roman"/>
        <family val="1"/>
      </rPr>
      <t>yang masuk pada PT. Asuransi Central Asia cabang Surabaya 1 bervariasi setiap bulan, berikut ini gambar grafik jumlah klaim berdasarkan waktu kejadian.</t>
    </r>
  </si>
  <si>
    <r>
      <t xml:space="preserve">Salah satu pengukuran kinerja dari divisi klaim adalah jumlah klaim yang berhail diselesaikan </t>
    </r>
    <r>
      <rPr>
        <i/>
        <sz val="12"/>
        <rFont val="Times New Roman"/>
        <family val="1"/>
      </rPr>
      <t>(settled</t>
    </r>
    <r>
      <rPr>
        <sz val="12"/>
        <rFont val="Times New Roman"/>
        <family val="1"/>
      </rPr>
      <t xml:space="preserve">), gambar 6.4 merupakan perbandingan jumlah klaim </t>
    </r>
    <r>
      <rPr>
        <i/>
        <sz val="12"/>
        <rFont val="Times New Roman"/>
        <family val="1"/>
      </rPr>
      <t xml:space="preserve">Casualty </t>
    </r>
    <r>
      <rPr>
        <sz val="12"/>
        <rFont val="Times New Roman"/>
        <family val="1"/>
      </rPr>
      <t>dengan status</t>
    </r>
    <r>
      <rPr>
        <i/>
        <sz val="12"/>
        <rFont val="Times New Roman"/>
        <family val="1"/>
      </rPr>
      <t xml:space="preserve"> settled</t>
    </r>
    <r>
      <rPr>
        <sz val="12"/>
        <rFont val="Times New Roman"/>
        <family val="1"/>
      </rPr>
      <t xml:space="preserve"> dalam bulan berjalan dari tahun sebelumnya pada divisi klaim non kendaraan bermotor PT. Asuransi Central Asia cabang Surabaya 1.</t>
    </r>
  </si>
  <si>
    <t>Dari data gambar 6.6 secara akumalasi berdasarkan kategori, dijelaskan pada gambar berikut ini.</t>
  </si>
  <si>
    <r>
      <t xml:space="preserve">Jumlah kejadian dengan kategori klaim </t>
    </r>
    <r>
      <rPr>
        <i/>
        <sz val="12"/>
        <rFont val="Times New Roman"/>
        <family val="1"/>
      </rPr>
      <t>Engineering</t>
    </r>
    <r>
      <rPr>
        <sz val="12"/>
        <rFont val="Times New Roman"/>
        <family val="1"/>
      </rPr>
      <t xml:space="preserve"> yang masuk pada PT. Asuransi Central Asia cabang Surabaya 1 bervariasi setiap bulan, berikut ini gambar grafik jumlah klaim berdasarkan waktu kejadian.</t>
    </r>
  </si>
  <si>
    <r>
      <t>Salah satu pengukuran kinerja dari divisi klaim adalah jumlah klaim yang berhail diselesaikan (</t>
    </r>
    <r>
      <rPr>
        <i/>
        <sz val="12"/>
        <rFont val="Times New Roman"/>
        <family val="1"/>
      </rPr>
      <t>settled</t>
    </r>
    <r>
      <rPr>
        <sz val="12"/>
        <rFont val="Times New Roman"/>
        <family val="1"/>
      </rPr>
      <t>), gambar 7.4 merupakan perbandingan jumlah klaim</t>
    </r>
    <r>
      <rPr>
        <i/>
        <sz val="12"/>
        <rFont val="Times New Roman"/>
        <family val="1"/>
      </rPr>
      <t xml:space="preserve"> Engineering</t>
    </r>
    <r>
      <rPr>
        <sz val="12"/>
        <rFont val="Times New Roman"/>
        <family val="1"/>
      </rPr>
      <t xml:space="preserve"> dengan status</t>
    </r>
    <r>
      <rPr>
        <i/>
        <sz val="12"/>
        <rFont val="Times New Roman"/>
        <family val="1"/>
      </rPr>
      <t xml:space="preserve"> settled</t>
    </r>
    <r>
      <rPr>
        <sz val="12"/>
        <rFont val="Times New Roman"/>
        <family val="1"/>
      </rPr>
      <t xml:space="preserve"> dalam bulan berjalan dari tahun sebelumnya pada divisi klaim non kendaraan bermotor PT. Asuransi Central Asia cabang Surabaya 1.</t>
    </r>
  </si>
  <si>
    <t>Dari data gambar 7.6 secara akumalasi berdasarkan kategori, dijelaskan pada gambar berikut ini.</t>
  </si>
  <si>
    <r>
      <t xml:space="preserve">7.1. Klaim </t>
    </r>
    <r>
      <rPr>
        <b/>
        <i/>
        <sz val="12"/>
        <rFont val="Times New Roman"/>
        <family val="1"/>
      </rPr>
      <t>Settled</t>
    </r>
    <r>
      <rPr>
        <b/>
        <sz val="12"/>
        <rFont val="Times New Roman"/>
        <family val="1"/>
      </rPr>
      <t xml:space="preserve"> dan </t>
    </r>
    <r>
      <rPr>
        <b/>
        <i/>
        <sz val="12"/>
        <rFont val="Times New Roman"/>
        <family val="1"/>
      </rPr>
      <t>Outstanding</t>
    </r>
  </si>
  <si>
    <r>
      <t xml:space="preserve">6.1. Klaim </t>
    </r>
    <r>
      <rPr>
        <b/>
        <i/>
        <sz val="12"/>
        <rFont val="Times New Roman"/>
        <family val="1"/>
      </rPr>
      <t>Settled</t>
    </r>
    <r>
      <rPr>
        <b/>
        <sz val="12"/>
        <rFont val="Times New Roman"/>
        <family val="1"/>
      </rPr>
      <t xml:space="preserve"> dan </t>
    </r>
    <r>
      <rPr>
        <b/>
        <i/>
        <sz val="12"/>
        <rFont val="Times New Roman"/>
        <family val="1"/>
      </rPr>
      <t>Outstanding</t>
    </r>
  </si>
  <si>
    <r>
      <t xml:space="preserve">5.1. Klaim </t>
    </r>
    <r>
      <rPr>
        <b/>
        <i/>
        <sz val="12"/>
        <rFont val="Times New Roman"/>
        <family val="1"/>
      </rPr>
      <t>Settled</t>
    </r>
    <r>
      <rPr>
        <b/>
        <sz val="12"/>
        <rFont val="Times New Roman"/>
        <family val="1"/>
      </rPr>
      <t xml:space="preserve"> dan </t>
    </r>
    <r>
      <rPr>
        <b/>
        <i/>
        <sz val="12"/>
        <rFont val="Times New Roman"/>
        <family val="1"/>
      </rPr>
      <t>Outstanding</t>
    </r>
  </si>
  <si>
    <r>
      <t xml:space="preserve">4.1. Klaim </t>
    </r>
    <r>
      <rPr>
        <b/>
        <i/>
        <sz val="12"/>
        <rFont val="Times New Roman"/>
        <family val="1"/>
      </rPr>
      <t xml:space="preserve">Settled </t>
    </r>
    <r>
      <rPr>
        <b/>
        <sz val="12"/>
        <rFont val="Times New Roman"/>
        <family val="1"/>
      </rPr>
      <t xml:space="preserve">dan </t>
    </r>
    <r>
      <rPr>
        <b/>
        <i/>
        <sz val="12"/>
        <rFont val="Times New Roman"/>
        <family val="1"/>
      </rPr>
      <t>Outstanding</t>
    </r>
  </si>
  <si>
    <r>
      <t xml:space="preserve">3.1. Klaim </t>
    </r>
    <r>
      <rPr>
        <b/>
        <i/>
        <sz val="12"/>
        <rFont val="Times New Roman"/>
        <family val="1"/>
      </rPr>
      <t>Settled</t>
    </r>
    <r>
      <rPr>
        <b/>
        <sz val="12"/>
        <rFont val="Times New Roman"/>
        <family val="1"/>
      </rPr>
      <t xml:space="preserve"> dan </t>
    </r>
    <r>
      <rPr>
        <b/>
        <i/>
        <sz val="12"/>
        <rFont val="Times New Roman"/>
        <family val="1"/>
      </rPr>
      <t>Outstanding</t>
    </r>
  </si>
  <si>
    <r>
      <t>Gambar 2.2 Jumlah Klaim Berdasarkan Tahun Register, Jenis Polis, dan</t>
    </r>
    <r>
      <rPr>
        <b/>
        <i/>
        <sz val="12"/>
        <rFont val="Times New Roman"/>
        <family val="1"/>
      </rPr>
      <t xml:space="preserve"> Otority</t>
    </r>
  </si>
  <si>
    <r>
      <t>Gambar 3.2 Jumlah Klaim Berdasarkan Tahun Register, Jenis Polis, dan</t>
    </r>
    <r>
      <rPr>
        <b/>
        <i/>
        <sz val="12"/>
        <rFont val="Times New Roman"/>
        <family val="1"/>
      </rPr>
      <t xml:space="preserve"> Otority</t>
    </r>
  </si>
  <si>
    <r>
      <t xml:space="preserve">Gambar 3.7. Jumlah Klaim yang Dipantau Berdasarkan Lama Waktu </t>
    </r>
    <r>
      <rPr>
        <b/>
        <i/>
        <sz val="12"/>
        <rFont val="Times New Roman"/>
        <family val="1"/>
      </rPr>
      <t>Update</t>
    </r>
  </si>
  <si>
    <t>Gambar 4.1 Jumlah Klaim Berdasarkan Tahun Register dan Kondisi Klaim</t>
  </si>
  <si>
    <r>
      <t>Gambar 4.2 Jumlah Klaim Berdasarkan Tahun Register, Jenis Polis, dan</t>
    </r>
    <r>
      <rPr>
        <b/>
        <i/>
        <sz val="12"/>
        <rFont val="Times New Roman"/>
        <family val="1"/>
      </rPr>
      <t xml:space="preserve"> Otority</t>
    </r>
  </si>
  <si>
    <t>Gambar 4.5. Jumlah Klaim yang Dipantau Berdasarkan Tahun Register</t>
  </si>
  <si>
    <t>Gambar 4.6. Jumlah Klaim yang Dipantau Berdasarkan Tahun Register</t>
  </si>
  <si>
    <r>
      <t xml:space="preserve">Gambar 4.7. Jumlah Klaim yang Dipantau Berdasarkan Lama Waktu </t>
    </r>
    <r>
      <rPr>
        <b/>
        <i/>
        <sz val="12"/>
        <rFont val="Times New Roman"/>
        <family val="1"/>
      </rPr>
      <t>Update</t>
    </r>
  </si>
  <si>
    <t>Gambar 5.1 Jumlah Klaim Berdasarkan Tahun Register dan Kondisi Klaim</t>
  </si>
  <si>
    <r>
      <t>Gambar 5.2 Jumlah Klaim Berdasarkan Tahun Register, Jenis Polis, dan</t>
    </r>
    <r>
      <rPr>
        <b/>
        <i/>
        <sz val="12"/>
        <rFont val="Times New Roman"/>
        <family val="1"/>
      </rPr>
      <t xml:space="preserve"> Otority</t>
    </r>
  </si>
  <si>
    <t>Gambar 5.5. Jumlah Klaim yang Dipantau Berdasarkan Tahun Register</t>
  </si>
  <si>
    <t>Gambar 5.6. Jumlah Klaim yang Dipantau Berdasarkan Tahun Register</t>
  </si>
  <si>
    <r>
      <t xml:space="preserve">Gambar 5.7. Jumlah Klaim yang Dipantau Berdasarkan Lama Waktu </t>
    </r>
    <r>
      <rPr>
        <b/>
        <i/>
        <sz val="12"/>
        <rFont val="Times New Roman"/>
        <family val="1"/>
      </rPr>
      <t>Update</t>
    </r>
  </si>
  <si>
    <t>Gambar 6.1 Jumlah Klaim Berdasarkan Tahun Register dan Kondisi Klaim</t>
  </si>
  <si>
    <r>
      <t>Gambar 6.2 Jumlah Klaim Berdasarkan Tahun Register, Jenis Polis, dan</t>
    </r>
    <r>
      <rPr>
        <b/>
        <i/>
        <sz val="12"/>
        <rFont val="Times New Roman"/>
        <family val="1"/>
      </rPr>
      <t xml:space="preserve"> Otority</t>
    </r>
  </si>
  <si>
    <t>Gambar 6.5. Jumlah Klaim yang Dipantau Berdasarkan Tahun Register</t>
  </si>
  <si>
    <t>Gambar 6.6. Jumlah Klaim yang Dipantau Berdasarkan Tahun Register</t>
  </si>
  <si>
    <r>
      <t xml:space="preserve">Gambar 6.7. Jumlah Klaim yang Dipantau Berdasarkan Lama Waktu </t>
    </r>
    <r>
      <rPr>
        <b/>
        <i/>
        <sz val="12"/>
        <rFont val="Times New Roman"/>
        <family val="1"/>
      </rPr>
      <t>Update</t>
    </r>
  </si>
  <si>
    <t>Gambar 7.1 Jumlah Klaim Berdasarkan Tahun Register dan Kondisi Klaim</t>
  </si>
  <si>
    <r>
      <t>Gambar 7.2 Jumlah Klaim Berdasarkan Tahun Register, Jenis Polis, dan</t>
    </r>
    <r>
      <rPr>
        <b/>
        <i/>
        <sz val="12"/>
        <rFont val="Times New Roman"/>
        <family val="1"/>
      </rPr>
      <t xml:space="preserve"> Otority</t>
    </r>
  </si>
  <si>
    <t>Gambar 7.5. Jumlah Klaim yang Dipantau Berdasarkan Tahun Register</t>
  </si>
  <si>
    <t>Gambar 7.6. Jumlah Klaim yang Dipantau Berdasarkan Tahun Register</t>
  </si>
  <si>
    <r>
      <t xml:space="preserve">Gambar 7.7. Jumlah Klaim yang Dipantau Berdasarkan Lama Waktu </t>
    </r>
    <r>
      <rPr>
        <b/>
        <i/>
        <sz val="12"/>
        <rFont val="Times New Roman"/>
        <family val="1"/>
      </rPr>
      <t>Update</t>
    </r>
  </si>
  <si>
    <r>
      <t xml:space="preserve">Tabel 3.1. Data Klaim </t>
    </r>
    <r>
      <rPr>
        <b/>
        <i/>
        <sz val="12"/>
        <rFont val="Times New Roman"/>
        <family val="1"/>
      </rPr>
      <t>Cargo</t>
    </r>
    <r>
      <rPr>
        <b/>
        <sz val="12"/>
        <rFont val="Times New Roman"/>
        <family val="1"/>
      </rPr>
      <t xml:space="preserve"> yang Bermasalah</t>
    </r>
  </si>
  <si>
    <t>Dari gambar 4.7 terdapat beberapa klaim bermasalah, adapun data klaim dan kendala dijabarkan pada tabel 4.1, berikut ini.</t>
  </si>
  <si>
    <r>
      <t xml:space="preserve">Tabel 4.1. Data Klaim </t>
    </r>
    <r>
      <rPr>
        <b/>
        <i/>
        <sz val="12"/>
        <rFont val="Times New Roman"/>
        <family val="1"/>
      </rPr>
      <t xml:space="preserve">CPM </t>
    </r>
    <r>
      <rPr>
        <b/>
        <sz val="12"/>
        <rFont val="Times New Roman"/>
        <family val="1"/>
      </rPr>
      <t>yang Bermasalah</t>
    </r>
  </si>
  <si>
    <t>Dari gambar 5.7 terdapat beberapa klaim bermasalah, adapun data klaim dan kendala dijabarkan pada tabel 5.1, berikut ini.</t>
  </si>
  <si>
    <r>
      <t xml:space="preserve">Tabel 5.1. Data Klaim </t>
    </r>
    <r>
      <rPr>
        <b/>
        <i/>
        <sz val="12"/>
        <rFont val="Times New Roman"/>
        <family val="1"/>
      </rPr>
      <t>Hull</t>
    </r>
    <r>
      <rPr>
        <b/>
        <sz val="12"/>
        <rFont val="Times New Roman"/>
        <family val="1"/>
      </rPr>
      <t xml:space="preserve"> yang Bermasalah</t>
    </r>
  </si>
  <si>
    <r>
      <t xml:space="preserve">Tabel 6.1. Data Klaim </t>
    </r>
    <r>
      <rPr>
        <b/>
        <i/>
        <sz val="12"/>
        <rFont val="Times New Roman"/>
        <family val="1"/>
      </rPr>
      <t>Casualty</t>
    </r>
    <r>
      <rPr>
        <b/>
        <sz val="12"/>
        <rFont val="Times New Roman"/>
        <family val="1"/>
      </rPr>
      <t xml:space="preserve"> yang Bermasalah</t>
    </r>
  </si>
  <si>
    <t>info tertanggung mengalami pailit, tgl 18.10.16 kirim penawaran ganti rugi</t>
  </si>
  <si>
    <t>11.31.16.000001</t>
  </si>
  <si>
    <t xml:space="preserve">- Terimakasih -    </t>
  </si>
  <si>
    <t>Hendro Tri Susanto</t>
  </si>
  <si>
    <t>Kepala Divisi  :</t>
  </si>
  <si>
    <t>Ahmad Subari</t>
  </si>
  <si>
    <t>Staff                :</t>
  </si>
  <si>
    <t xml:space="preserve">  Personil Divisi Klaim Non Kendaraan Bermotor</t>
  </si>
  <si>
    <t>06.07.17</t>
  </si>
  <si>
    <t>Tertanggung belum memberikan dokumen klaim</t>
  </si>
  <si>
    <t xml:space="preserve">16.10.17 </t>
  </si>
  <si>
    <t>Tertanggung tidak memberikan dokumen yang diminta adjuster</t>
  </si>
  <si>
    <t>pak surya instruksi tidak boleh reminder 16.10.17 reminder mohon informasi ke Ibu Cintya TTG 05.06.17 info dari TTG. menunggu info dari TTG klaim ini jadi atau tidak</t>
  </si>
  <si>
    <r>
      <t xml:space="preserve">Tabel 7.1. Data Klaim </t>
    </r>
    <r>
      <rPr>
        <b/>
        <i/>
        <sz val="12"/>
        <rFont val="Times New Roman"/>
        <family val="1"/>
      </rPr>
      <t>Engineering</t>
    </r>
    <r>
      <rPr>
        <b/>
        <sz val="12"/>
        <rFont val="Times New Roman"/>
        <family val="1"/>
      </rPr>
      <t>yang Bermasalah</t>
    </r>
  </si>
  <si>
    <t>02.31.17.050022</t>
  </si>
  <si>
    <t>Pelabuhan Indonesia III (persero)</t>
  </si>
  <si>
    <t>Polis Inward</t>
  </si>
  <si>
    <t>Polis ACA</t>
  </si>
  <si>
    <t>cargo</t>
  </si>
  <si>
    <t>casualty</t>
  </si>
  <si>
    <t>engineering</t>
  </si>
  <si>
    <r>
      <t xml:space="preserve">Adapun perbandingan klaim </t>
    </r>
    <r>
      <rPr>
        <i/>
        <sz val="12"/>
        <rFont val="Times New Roman"/>
        <family val="1"/>
      </rPr>
      <t>Fire</t>
    </r>
    <r>
      <rPr>
        <sz val="12"/>
        <rFont val="Times New Roman"/>
        <family val="1"/>
      </rPr>
      <t xml:space="preserve"> dengan status </t>
    </r>
    <r>
      <rPr>
        <i/>
        <sz val="12"/>
        <rFont val="Times New Roman"/>
        <family val="1"/>
      </rPr>
      <t>settled</t>
    </r>
    <r>
      <rPr>
        <sz val="12"/>
        <rFont val="Times New Roman"/>
        <family val="1"/>
      </rPr>
      <t xml:space="preserve"> dan </t>
    </r>
    <r>
      <rPr>
        <i/>
        <sz val="12"/>
        <rFont val="Times New Roman"/>
        <family val="1"/>
      </rPr>
      <t>outstanding</t>
    </r>
    <r>
      <rPr>
        <sz val="12"/>
        <rFont val="Times New Roman"/>
        <family val="1"/>
      </rPr>
      <t xml:space="preserve"> di PT. Asuransi Central Asia cabang Surabaya 1, dijelaskan pada gambar berikut ini.</t>
    </r>
  </si>
  <si>
    <t>Adapun jumlah klaim CPM dalam pantauan dari tahun 2010 hingga 2018 di PT.Asuransi Central Asia cabang Surabaya 1, dijelaskan pada gambar berikut ini.</t>
  </si>
  <si>
    <t>Adapun jumlah klaim Casualty dalam pantauan dari tahun 2010 hingga 2018 di PT.Asuransi Central Asia cabang Surabaya 1, dijelaskan pada gambar berikut ini.</t>
  </si>
  <si>
    <r>
      <t xml:space="preserve">Adapun jumlah klaim </t>
    </r>
    <r>
      <rPr>
        <i/>
        <sz val="12"/>
        <rFont val="Times New Roman"/>
        <family val="1"/>
      </rPr>
      <t>Fire</t>
    </r>
    <r>
      <rPr>
        <sz val="12"/>
        <rFont val="Times New Roman"/>
        <family val="1"/>
      </rPr>
      <t xml:space="preserve"> dalam pantauan dari tahun 2010 hingga 2018 di PT. Asuransi Central Asia cabang Surabaya 1, dijelaskan pada gambar berikut ini.</t>
    </r>
  </si>
  <si>
    <t>Jumlah Dipantau&gt;30 hari</t>
  </si>
  <si>
    <r>
      <t xml:space="preserve">Adapun perbandingan klaim </t>
    </r>
    <r>
      <rPr>
        <i/>
        <sz val="12"/>
        <rFont val="Times New Roman"/>
        <family val="1"/>
      </rPr>
      <t>Cargo</t>
    </r>
    <r>
      <rPr>
        <sz val="12"/>
        <rFont val="Times New Roman"/>
        <family val="1"/>
      </rPr>
      <t xml:space="preserve"> dengan status </t>
    </r>
    <r>
      <rPr>
        <i/>
        <sz val="12"/>
        <rFont val="Times New Roman"/>
        <family val="1"/>
      </rPr>
      <t>settled</t>
    </r>
    <r>
      <rPr>
        <sz val="12"/>
        <rFont val="Times New Roman"/>
        <family val="1"/>
      </rPr>
      <t xml:space="preserve"> dan </t>
    </r>
    <r>
      <rPr>
        <i/>
        <sz val="12"/>
        <rFont val="Times New Roman"/>
        <family val="1"/>
      </rPr>
      <t>outstanding</t>
    </r>
    <r>
      <rPr>
        <sz val="12"/>
        <rFont val="Times New Roman"/>
        <family val="1"/>
      </rPr>
      <t xml:space="preserve"> di PT. Asuransi Central Asia cabang Surabaya 1, dijelaskan pada gambar berikut ini.</t>
    </r>
  </si>
  <si>
    <r>
      <t xml:space="preserve">Adapun jumlah klaim </t>
    </r>
    <r>
      <rPr>
        <i/>
        <sz val="12"/>
        <rFont val="Times New Roman"/>
        <family val="1"/>
      </rPr>
      <t>Cargo</t>
    </r>
    <r>
      <rPr>
        <sz val="12"/>
        <rFont val="Times New Roman"/>
        <family val="1"/>
      </rPr>
      <t xml:space="preserve"> dalam pantauan dari tahun 2010 hingga 2018 di PT.Asuransi Central Asia cabang Surabaya 1, dijelaskan pada gambar berikut ini.</t>
    </r>
  </si>
  <si>
    <r>
      <t xml:space="preserve">Dalam proses memantau klaim </t>
    </r>
    <r>
      <rPr>
        <i/>
        <sz val="12"/>
        <rFont val="Times New Roman"/>
        <family val="1"/>
      </rPr>
      <t>Cargo</t>
    </r>
    <r>
      <rPr>
        <sz val="12"/>
        <rFont val="Times New Roman"/>
        <family val="1"/>
      </rPr>
      <t xml:space="preserve"> di PT. Asuransi Central Asia cabang Surabaya 1 dibagi menjadi 4 (empat) kategori berdasarkan lama </t>
    </r>
    <r>
      <rPr>
        <i/>
        <sz val="12"/>
        <rFont val="Times New Roman"/>
        <family val="1"/>
      </rPr>
      <t>update</t>
    </r>
    <r>
      <rPr>
        <sz val="12"/>
        <rFont val="Times New Roman"/>
        <family val="1"/>
      </rPr>
      <t xml:space="preserve"> klaim yaitu kurang dari sampai 7 hari, antara 7 sampai 14 hari, antara 14 sampai 30 hari, dan lebih dari 30 hari, adapun rincian tersebut dijelaskan pada gambar 3.6.</t>
    </r>
  </si>
  <si>
    <r>
      <t xml:space="preserve">Dalam proses memantau klaim </t>
    </r>
    <r>
      <rPr>
        <i/>
        <sz val="12"/>
        <rFont val="Times New Roman"/>
        <family val="1"/>
      </rPr>
      <t xml:space="preserve">Fire </t>
    </r>
    <r>
      <rPr>
        <sz val="12"/>
        <rFont val="Times New Roman"/>
        <family val="1"/>
      </rPr>
      <t xml:space="preserve">di PT. Asuransi Central Asia cabang Surabaya 1 dibagi menjadi 4 (empat) kategori berdasarkan lama </t>
    </r>
    <r>
      <rPr>
        <i/>
        <sz val="12"/>
        <rFont val="Times New Roman"/>
        <family val="1"/>
      </rPr>
      <t>update</t>
    </r>
    <r>
      <rPr>
        <sz val="12"/>
        <rFont val="Times New Roman"/>
        <family val="1"/>
      </rPr>
      <t xml:space="preserve"> klaim yaitu kurang dari sampai 7 hari, antara 7 sampai 14 hari, antara 14 sampai 30 hari, dan lebih dari 30 hari, adapun rincian tersebut dijelaskan pada gambar 2.6.</t>
    </r>
  </si>
  <si>
    <r>
      <t>Adapun jumlah klaim</t>
    </r>
    <r>
      <rPr>
        <i/>
        <sz val="12"/>
        <rFont val="Times New Roman"/>
        <family val="1"/>
      </rPr>
      <t xml:space="preserve"> Hull </t>
    </r>
    <r>
      <rPr>
        <sz val="12"/>
        <rFont val="Times New Roman"/>
        <family val="1"/>
      </rPr>
      <t>dalam pantauan dari tahun 2010 hingga 2018 di PT.Asuransi Central Asia cabang Surabaya 1, dijelaskan pada gambar berikut ini.</t>
    </r>
  </si>
  <si>
    <r>
      <t>Dalam proses memantau klaim</t>
    </r>
    <r>
      <rPr>
        <i/>
        <sz val="12"/>
        <rFont val="Times New Roman"/>
        <family val="1"/>
      </rPr>
      <t xml:space="preserve"> CPM</t>
    </r>
    <r>
      <rPr>
        <sz val="12"/>
        <rFont val="Times New Roman"/>
        <family val="1"/>
      </rPr>
      <t xml:space="preserve"> di PT. Asuransi Central Asia cabang Surabaya 1 dibagi menjadi 4 (empat) kategori berdasarkan lama </t>
    </r>
    <r>
      <rPr>
        <i/>
        <sz val="12"/>
        <rFont val="Times New Roman"/>
        <family val="1"/>
      </rPr>
      <t>update</t>
    </r>
    <r>
      <rPr>
        <sz val="12"/>
        <rFont val="Times New Roman"/>
        <family val="1"/>
      </rPr>
      <t xml:space="preserve"> klaim yaitu kurang dari sampai 7 hari, antara 7 sampai 14 hari, antara 14 sampai 30 hari, dan lebih dari 30 hari, adapun rincian tersebut dijelaskan pada gambar 4.6.</t>
    </r>
  </si>
  <si>
    <r>
      <t xml:space="preserve">Dalam proses memantau klaim </t>
    </r>
    <r>
      <rPr>
        <i/>
        <sz val="12"/>
        <rFont val="Times New Roman"/>
        <family val="1"/>
      </rPr>
      <t xml:space="preserve">Casualty </t>
    </r>
    <r>
      <rPr>
        <sz val="12"/>
        <rFont val="Times New Roman"/>
        <family val="1"/>
      </rPr>
      <t>di PT. Asuransi Central Asia cabang Surabaya 1 dibagi menjadi 4 (empat) kategori berdasarkan lama</t>
    </r>
    <r>
      <rPr>
        <i/>
        <sz val="12"/>
        <rFont val="Times New Roman"/>
        <family val="1"/>
      </rPr>
      <t xml:space="preserve"> update</t>
    </r>
    <r>
      <rPr>
        <sz val="12"/>
        <rFont val="Times New Roman"/>
        <family val="1"/>
      </rPr>
      <t xml:space="preserve"> klaim yaitu kurang dari sampai 7 hari, antara 7 sampai 14 hari, antara 14 sampai 30 hari, dan lebih dari 30 hari, adapun rincian tersebut dijelaskan pada gambar 6.6.</t>
    </r>
  </si>
  <si>
    <r>
      <t xml:space="preserve">Dalam proses memantau klaim </t>
    </r>
    <r>
      <rPr>
        <i/>
        <sz val="12"/>
        <rFont val="Times New Roman"/>
        <family val="1"/>
      </rPr>
      <t>Hull</t>
    </r>
    <r>
      <rPr>
        <sz val="12"/>
        <rFont val="Times New Roman"/>
        <family val="1"/>
      </rPr>
      <t xml:space="preserve"> di PT. Asuransi Central Asia cabang Surabaya 1 dibagi menjadi 4 (empat) kategori berdasarkan lama </t>
    </r>
    <r>
      <rPr>
        <i/>
        <sz val="12"/>
        <rFont val="Times New Roman"/>
        <family val="1"/>
      </rPr>
      <t>update</t>
    </r>
    <r>
      <rPr>
        <sz val="12"/>
        <rFont val="Times New Roman"/>
        <family val="1"/>
      </rPr>
      <t xml:space="preserve"> klaim yaitu kurang dari sampai 7 hari, antara 7 sampai 14 hari, antara 14 sampai 30 hari, dan lebih dari 30 hari, adapun rincian tersebut dijelaskan pada gambar 5.6.</t>
    </r>
  </si>
  <si>
    <r>
      <t xml:space="preserve">Dalam proses memantau klaim </t>
    </r>
    <r>
      <rPr>
        <i/>
        <sz val="12"/>
        <rFont val="Times New Roman"/>
        <family val="1"/>
      </rPr>
      <t>Engineering</t>
    </r>
    <r>
      <rPr>
        <sz val="12"/>
        <rFont val="Times New Roman"/>
        <family val="1"/>
      </rPr>
      <t xml:space="preserve"> di PT. Asuransi Central Asia cabang Surabaya 1 dibagi menjadi 4 (empat) kategori berdasarkan lama </t>
    </r>
    <r>
      <rPr>
        <i/>
        <sz val="12"/>
        <rFont val="Times New Roman"/>
        <family val="1"/>
      </rPr>
      <t>update</t>
    </r>
    <r>
      <rPr>
        <sz val="12"/>
        <rFont val="Times New Roman"/>
        <family val="1"/>
      </rPr>
      <t xml:space="preserve"> klaim yaitu kurang dari sampai 7 hari, antara 7 sampai 14 hari, antara 14 sampai 30 hari, dan lebih dari 30 hari, adapun rincian tersebut dijelaskan pada gambar 7.6.</t>
    </r>
  </si>
  <si>
    <t>1.1 Klaim Tahun 2010 sampai dengan Tahun 2018</t>
  </si>
  <si>
    <t>Gambar 1.3 merupakan jumlah klaim non kendaraan bermotor PT. Asuransi Central Asia cabang Surabaya 1 berdasarkan LOB dan tahun dari tahun 2010 hingga Tahun 2018.</t>
  </si>
  <si>
    <t>Gambar 1.4 merupakan jumlah klaim non kendaraan bermotor PT. Asuransi Central Asia cabang Surabaya 1 berdasarkan status klaim dan tahun dari tahun 2010 hingga Tahun 2018.</t>
  </si>
  <si>
    <t>Gambar 1.1. Persentase LOB Terhadap Jumlah Klaim Non Kendaraan Bermotor                              PT. Asuransi Central Asia cabang Surabaya 1 Th. 2010 s/d 2018</t>
  </si>
  <si>
    <t>Gambar 1.3. Jumlah Klaim Non Kendaraan Bermotor Berdasarkan LOB dan Tahun                       PT. Asuransi Central Asia cabang Surabaya 1 Th. 2010 s/d 2018</t>
  </si>
  <si>
    <t>Gambar 1.4. Jumlah Klaim Non Kendaraan Bermotor Berdasarkan Status Klaim dan Tahun                       PT. Asuransi Central Asia cabang Surabaya 1 Th. 2010 s/d 2018</t>
  </si>
  <si>
    <t>Gambar 1.7. Jumlah Klaim Non Kendaraan Bermotor yang Dipantaun Berdasarkan LOB dan Tahun PT. Asuransi Central Asia cabang Surabaya 1 Th. 2010 s/d 2018</t>
  </si>
  <si>
    <t>Gambar 1.1 merupakan persentase setiap LOB terhadap jumlah keseluruhan klaim non kendaraan bermotor PT. Asuransi Central Asia cabang Surabaya 1 tahun 2010 hingga tahun 2018.</t>
  </si>
  <si>
    <r>
      <t xml:space="preserve">Gambar 1.2 merupakan perbandingan persentase LOB terhadap jumlah keseluruhan klaim dengan status </t>
    </r>
    <r>
      <rPr>
        <i/>
        <sz val="12"/>
        <rFont val="Times New Roman"/>
        <family val="1"/>
      </rPr>
      <t>outstanding</t>
    </r>
    <r>
      <rPr>
        <sz val="12"/>
        <rFont val="Times New Roman"/>
        <family val="1"/>
      </rPr>
      <t xml:space="preserve"> tahun 2010 hingga tahun 2018.</t>
    </r>
  </si>
  <si>
    <r>
      <t xml:space="preserve">Gambar 1.2. Persentase LOB Terhadap Jumlah Klaim Non Kendaraan Bermotor dengan Status </t>
    </r>
    <r>
      <rPr>
        <b/>
        <i/>
        <sz val="12"/>
        <rFont val="Times New Roman"/>
        <family val="1"/>
      </rPr>
      <t>Outstanding</t>
    </r>
    <r>
      <rPr>
        <b/>
        <sz val="12"/>
        <rFont val="Times New Roman"/>
        <family val="1"/>
      </rPr>
      <t xml:space="preserve"> PT. Asuransi Central Asia cabang Surabaya 1 Th. 2010 s/d 2018</t>
    </r>
  </si>
  <si>
    <r>
      <t xml:space="preserve">Gambar 1.5 merupakan jumlah klaim dengan status </t>
    </r>
    <r>
      <rPr>
        <i/>
        <sz val="12"/>
        <rFont val="Times New Roman"/>
        <family val="1"/>
      </rPr>
      <t>outstanding</t>
    </r>
    <r>
      <rPr>
        <sz val="12"/>
        <rFont val="Times New Roman"/>
        <family val="1"/>
      </rPr>
      <t xml:space="preserve"> non kendaraan bermotor PT. Asuransi Central Asia cabang Surabaya 1 berdasarkan LOB dan tahun dari tahun 2010 hingga tahun 2018.</t>
    </r>
  </si>
  <si>
    <r>
      <t xml:space="preserve">Gambar 1.5. Jumlah Klaim </t>
    </r>
    <r>
      <rPr>
        <b/>
        <i/>
        <sz val="12"/>
        <rFont val="Times New Roman"/>
        <family val="1"/>
      </rPr>
      <t>Outstanding</t>
    </r>
    <r>
      <rPr>
        <b/>
        <sz val="12"/>
        <rFont val="Times New Roman"/>
        <family val="1"/>
      </rPr>
      <t xml:space="preserve"> Non Kendaraan Bermotor Berdasarkan LOB dan Tahun PT. Asuransi Central Asia cabang Surabaya 1 Th. 2010 s/d 2018</t>
    </r>
  </si>
  <si>
    <t>** Jumlah belum 1 tahun penuh</t>
  </si>
  <si>
    <r>
      <t xml:space="preserve">Adapun jumlah klaim </t>
    </r>
    <r>
      <rPr>
        <i/>
        <sz val="12"/>
        <rFont val="Times New Roman"/>
        <family val="1"/>
      </rPr>
      <t>Engineering</t>
    </r>
    <r>
      <rPr>
        <sz val="12"/>
        <rFont val="Times New Roman"/>
        <family val="1"/>
      </rPr>
      <t xml:space="preserve"> dalam pantauan dari tahun 2010 hingga 2018 di PT. Asuransi Central Asia cabang Surabaya 1, dijelaskan pada gambar berikut ini.</t>
    </r>
  </si>
  <si>
    <t>Dari gambar 2.7 terdapat beberapa klaim bermasalah. adapun data klaim dan kendala dijabarkan pada tabel 2.1. berikut ini.</t>
  </si>
  <si>
    <t>01.31.12.000096</t>
  </si>
  <si>
    <t>Gudang Garam</t>
  </si>
  <si>
    <t>Dokumen klaim belum komplit. info leader tidak mempunyai data dokumen klaim ini karena klaim sudah lama (klaim tidak ditagihkan lagi oleh leader)</t>
  </si>
  <si>
    <t>01.31.12.000097</t>
  </si>
  <si>
    <t>01.31.12.000098</t>
  </si>
  <si>
    <t>01.31.13.000036</t>
  </si>
  <si>
    <t>Surya Zig Zag</t>
  </si>
  <si>
    <t>01.31.13.000058</t>
  </si>
  <si>
    <t>Surya Pemenang</t>
  </si>
  <si>
    <t>01.31.14.000044</t>
  </si>
  <si>
    <t>Dari gambar 3.7 terdapat beberapa klaim bermasalah. adapun data klaim dan kendala dijabarkan pada tabel 3.1. berikut ini.</t>
  </si>
  <si>
    <t>11.31.11.000019</t>
  </si>
  <si>
    <t>PR Tjap Gudang Garam</t>
  </si>
  <si>
    <t>Dokumen klaim belum komplit. info leader tidak mempunyai data dokumen klaim ini karena klaim sudah lama  (klaim tidak ditagihkan lagi oleh leader)</t>
  </si>
  <si>
    <t>11.31.12.000012</t>
  </si>
  <si>
    <t>11.31.12.000013</t>
  </si>
  <si>
    <t>11.31.12.000016</t>
  </si>
  <si>
    <t>11.31.12.000017</t>
  </si>
  <si>
    <t>Dari gambar 6.7 terdapat beberapa klaim bermasalah. adapun data klaim dan kendala dijabarkan pada tabel 6.1. berikut ini.</t>
  </si>
  <si>
    <t>TTG kuliah di Prancis. insturksi KACAB menunggu kuwitansi asli</t>
  </si>
  <si>
    <t>Dari gambar 7.7 terdapat beberapa klaim bermasalah. adapun data klaim dan kendala dijabarkan pada tabel 7.1. berikut ini.</t>
  </si>
  <si>
    <t>DOL diluar periode. yang menurut leader sudah di Hold 1 bulan</t>
  </si>
  <si>
    <t>*** Jumlah settled tahun 2016</t>
  </si>
  <si>
    <t>*peningkatan dari 2016 *** ke 2017</t>
  </si>
  <si>
    <t>*progres dari 2017 ke 2018</t>
  </si>
  <si>
    <r>
      <t xml:space="preserve">Gambar 1.6 merupakan perbandingan jumlah </t>
    </r>
    <r>
      <rPr>
        <i/>
        <sz val="12"/>
        <rFont val="Times New Roman"/>
        <family val="1"/>
      </rPr>
      <t>settled</t>
    </r>
    <r>
      <rPr>
        <sz val="12"/>
        <rFont val="Times New Roman"/>
        <family val="1"/>
      </rPr>
      <t xml:space="preserve"> klaim berdasarakan LOB pada tahun 2016, 2017, dan 2018 klaim non kendaraan bermotor PT. Asuransi Central Asia cabang Surabaya 1 </t>
    </r>
  </si>
  <si>
    <r>
      <t xml:space="preserve">Gambar 1.6. Perbandingan Jumlah </t>
    </r>
    <r>
      <rPr>
        <b/>
        <i/>
        <sz val="12"/>
        <rFont val="Times New Roman"/>
        <family val="1"/>
      </rPr>
      <t xml:space="preserve">Settled </t>
    </r>
    <r>
      <rPr>
        <b/>
        <sz val="12"/>
        <rFont val="Times New Roman"/>
        <family val="1"/>
      </rPr>
      <t>Klaim Non Kendaraan Bermotor Berdasarkan LOB PT. Asuransi Central Asia cabang Surabaya 1 Tahun 2016, 2017, dan 2018</t>
    </r>
  </si>
  <si>
    <r>
      <t>2.2. Perbandingan Jumlah Klaim Berdasarkan</t>
    </r>
    <r>
      <rPr>
        <b/>
        <i/>
        <sz val="12"/>
        <rFont val="Times New Roman"/>
        <family val="1"/>
      </rPr>
      <t xml:space="preserve"> Date of Loss</t>
    </r>
    <r>
      <rPr>
        <b/>
        <sz val="12"/>
        <rFont val="Times New Roman"/>
        <family val="1"/>
      </rPr>
      <t xml:space="preserve"> dan Jumlah </t>
    </r>
    <r>
      <rPr>
        <b/>
        <i/>
        <sz val="12"/>
        <rFont val="Times New Roman"/>
        <family val="1"/>
      </rPr>
      <t>Settled</t>
    </r>
    <r>
      <rPr>
        <b/>
        <sz val="12"/>
        <rFont val="Times New Roman"/>
        <family val="1"/>
      </rPr>
      <t xml:space="preserve"> pada Tahun 2016, 2017, dan 2018  </t>
    </r>
  </si>
  <si>
    <r>
      <t xml:space="preserve">Gambar 2.3 Perbandingan Jumlah Klaim Berdasarkan </t>
    </r>
    <r>
      <rPr>
        <b/>
        <i/>
        <sz val="12"/>
        <rFont val="Times New Roman"/>
        <family val="1"/>
      </rPr>
      <t>Date of Loss</t>
    </r>
    <r>
      <rPr>
        <b/>
        <sz val="12"/>
        <rFont val="Times New Roman"/>
        <family val="1"/>
      </rPr>
      <t xml:space="preserve">                                              pada Tahun 2016, 2017, dan 2018 setiap Bulan dan Akumulasi</t>
    </r>
  </si>
  <si>
    <r>
      <t xml:space="preserve">Gambar 2.4 Perbandingan </t>
    </r>
    <r>
      <rPr>
        <b/>
        <i/>
        <sz val="12"/>
        <rFont val="Times New Roman"/>
        <family val="1"/>
      </rPr>
      <t xml:space="preserve">Komulatif </t>
    </r>
    <r>
      <rPr>
        <b/>
        <sz val="12"/>
        <rFont val="Times New Roman"/>
        <family val="1"/>
      </rPr>
      <t>Klaim dapat Dilakukan</t>
    </r>
    <r>
      <rPr>
        <b/>
        <i/>
        <sz val="12"/>
        <rFont val="Times New Roman"/>
        <family val="1"/>
      </rPr>
      <t xml:space="preserve"> Settled</t>
    </r>
    <r>
      <rPr>
        <b/>
        <sz val="12"/>
        <rFont val="Times New Roman"/>
        <family val="1"/>
      </rPr>
      <t xml:space="preserve"> Klaim pada Tahun 2016, 2017, dan 2018 Setiap Bulan </t>
    </r>
  </si>
  <si>
    <t>01.31.17.000091</t>
  </si>
  <si>
    <t>Angkasa Pura I ( Juanda-Surabaya)</t>
  </si>
  <si>
    <t>Leader terlambat lapor DOL 05,08,2011 dan dilaporkan tahun 2017</t>
  </si>
  <si>
    <r>
      <t xml:space="preserve">3.2. Perbandingan Jumlah Klaim Berdasarkan </t>
    </r>
    <r>
      <rPr>
        <b/>
        <i/>
        <sz val="12"/>
        <rFont val="Times New Roman"/>
        <family val="1"/>
      </rPr>
      <t xml:space="preserve">Date of Loss </t>
    </r>
    <r>
      <rPr>
        <b/>
        <sz val="12"/>
        <rFont val="Times New Roman"/>
        <family val="1"/>
      </rPr>
      <t xml:space="preserve">dan Jumlah </t>
    </r>
    <r>
      <rPr>
        <b/>
        <i/>
        <sz val="12"/>
        <rFont val="Times New Roman"/>
        <family val="1"/>
      </rPr>
      <t xml:space="preserve">Settled </t>
    </r>
    <r>
      <rPr>
        <b/>
        <sz val="12"/>
        <rFont val="Times New Roman"/>
        <family val="1"/>
      </rPr>
      <t xml:space="preserve">pada Tahun 2016, 2017, dan 2018  </t>
    </r>
  </si>
  <si>
    <r>
      <t xml:space="preserve">Gambar 3.3 Perbandingan Jumlah Klaim Berdasarkan </t>
    </r>
    <r>
      <rPr>
        <b/>
        <i/>
        <sz val="12"/>
        <rFont val="Times New Roman"/>
        <family val="1"/>
      </rPr>
      <t xml:space="preserve">Date of Loss  </t>
    </r>
    <r>
      <rPr>
        <b/>
        <sz val="12"/>
        <rFont val="Times New Roman"/>
        <family val="1"/>
      </rPr>
      <t xml:space="preserve">                                            pada Tahun 2016, 2017, dan 2018 setiap Bulan dan Akumulasi</t>
    </r>
  </si>
  <si>
    <r>
      <t>Gambar 3.4 Perbandingan Komulatif</t>
    </r>
    <r>
      <rPr>
        <b/>
        <i/>
        <sz val="12"/>
        <rFont val="Times New Roman"/>
        <family val="1"/>
      </rPr>
      <t xml:space="preserve"> </t>
    </r>
    <r>
      <rPr>
        <b/>
        <sz val="12"/>
        <rFont val="Times New Roman"/>
        <family val="1"/>
      </rPr>
      <t>Klaim Sudah Dilakukan</t>
    </r>
    <r>
      <rPr>
        <b/>
        <i/>
        <sz val="12"/>
        <rFont val="Times New Roman"/>
        <family val="1"/>
      </rPr>
      <t xml:space="preserve"> Settled </t>
    </r>
    <r>
      <rPr>
        <b/>
        <sz val="12"/>
        <rFont val="Times New Roman"/>
        <family val="1"/>
      </rPr>
      <t xml:space="preserve">Klaim pada Tahun 2016, 2017, dan 2018 Setiap Bulan </t>
    </r>
  </si>
  <si>
    <r>
      <t xml:space="preserve">4.2. Perbandingan Jumlah Klaim Berdasarkan </t>
    </r>
    <r>
      <rPr>
        <b/>
        <i/>
        <sz val="12"/>
        <rFont val="Times New Roman"/>
        <family val="1"/>
      </rPr>
      <t>Date of Loss</t>
    </r>
    <r>
      <rPr>
        <b/>
        <sz val="12"/>
        <rFont val="Times New Roman"/>
        <family val="1"/>
      </rPr>
      <t xml:space="preserve"> dan Jumlah </t>
    </r>
    <r>
      <rPr>
        <b/>
        <i/>
        <sz val="12"/>
        <rFont val="Times New Roman"/>
        <family val="1"/>
      </rPr>
      <t xml:space="preserve">Settled </t>
    </r>
    <r>
      <rPr>
        <b/>
        <sz val="12"/>
        <rFont val="Times New Roman"/>
        <family val="1"/>
      </rPr>
      <t xml:space="preserve">pada Tahun 2016, 2017, dan 2018  </t>
    </r>
  </si>
  <si>
    <r>
      <t xml:space="preserve">Gambar 4.3 Perbandingan Jumlah Klaim Berdasarkan </t>
    </r>
    <r>
      <rPr>
        <b/>
        <i/>
        <sz val="12"/>
        <rFont val="Times New Roman"/>
        <family val="1"/>
      </rPr>
      <t xml:space="preserve">Date of Loss  </t>
    </r>
    <r>
      <rPr>
        <b/>
        <sz val="12"/>
        <rFont val="Times New Roman"/>
        <family val="1"/>
      </rPr>
      <t xml:space="preserve">                                            pada Tahun 2016, 2017, dan 2018 setiap Bulan dan Akumulasi</t>
    </r>
  </si>
  <si>
    <r>
      <t xml:space="preserve">Gambar 4.4 Perbandingan Komulatif Klaim Sudah Dilakukan </t>
    </r>
    <r>
      <rPr>
        <b/>
        <i/>
        <sz val="12"/>
        <rFont val="Times New Roman"/>
        <family val="1"/>
      </rPr>
      <t xml:space="preserve">Settled </t>
    </r>
    <r>
      <rPr>
        <b/>
        <sz val="12"/>
        <rFont val="Times New Roman"/>
        <family val="1"/>
      </rPr>
      <t xml:space="preserve">Klaim pada Tahun 2016, 2017 dan 2018 Setiap Bulan </t>
    </r>
  </si>
  <si>
    <r>
      <t xml:space="preserve">5.2. Perbandingan Jumlah Klaim Berdasarkan </t>
    </r>
    <r>
      <rPr>
        <b/>
        <i/>
        <sz val="12"/>
        <rFont val="Times New Roman"/>
        <family val="1"/>
      </rPr>
      <t>Date of Loss</t>
    </r>
    <r>
      <rPr>
        <b/>
        <sz val="12"/>
        <rFont val="Times New Roman"/>
        <family val="1"/>
      </rPr>
      <t xml:space="preserve"> dan Jumlah </t>
    </r>
    <r>
      <rPr>
        <b/>
        <i/>
        <sz val="12"/>
        <rFont val="Times New Roman"/>
        <family val="1"/>
      </rPr>
      <t>Settled</t>
    </r>
    <r>
      <rPr>
        <b/>
        <sz val="12"/>
        <rFont val="Times New Roman"/>
        <family val="1"/>
      </rPr>
      <t xml:space="preserve"> pada Tahun 2016, 2017, dan 2018  </t>
    </r>
  </si>
  <si>
    <r>
      <t xml:space="preserve">Gambar 5.4 Perbandingan Komulatif Klaim Sudah Dilakukan </t>
    </r>
    <r>
      <rPr>
        <b/>
        <i/>
        <sz val="12"/>
        <rFont val="Times New Roman"/>
        <family val="1"/>
      </rPr>
      <t>Settled</t>
    </r>
    <r>
      <rPr>
        <b/>
        <sz val="12"/>
        <rFont val="Times New Roman"/>
        <family val="1"/>
      </rPr>
      <t xml:space="preserve"> Klaim pada Tahun 2016, 2017, dan 2018 Setiap Bulan </t>
    </r>
  </si>
  <si>
    <r>
      <t xml:space="preserve">Gambar 5.3 Perbandingan Jumlah Klaim Berdasarkan </t>
    </r>
    <r>
      <rPr>
        <b/>
        <i/>
        <sz val="12"/>
        <rFont val="Times New Roman"/>
        <family val="1"/>
      </rPr>
      <t>Date of Loss</t>
    </r>
    <r>
      <rPr>
        <b/>
        <sz val="12"/>
        <rFont val="Times New Roman"/>
        <family val="1"/>
      </rPr>
      <t xml:space="preserve">                                              pada Tahun 2016, 2017, dan 2018 setiap Bulan dan Akumulasi</t>
    </r>
  </si>
  <si>
    <r>
      <t xml:space="preserve">6.2. Perbandingan Jumlah Klaim Berdasarkan </t>
    </r>
    <r>
      <rPr>
        <b/>
        <i/>
        <sz val="12"/>
        <rFont val="Times New Roman"/>
        <family val="1"/>
      </rPr>
      <t>Date of Loss</t>
    </r>
    <r>
      <rPr>
        <b/>
        <sz val="12"/>
        <rFont val="Times New Roman"/>
        <family val="1"/>
      </rPr>
      <t xml:space="preserve"> dan Jumlah </t>
    </r>
    <r>
      <rPr>
        <b/>
        <i/>
        <sz val="12"/>
        <rFont val="Times New Roman"/>
        <family val="1"/>
      </rPr>
      <t>Settled</t>
    </r>
    <r>
      <rPr>
        <b/>
        <sz val="12"/>
        <rFont val="Times New Roman"/>
        <family val="1"/>
      </rPr>
      <t xml:space="preserve"> pada Tahun 2016, 2017, dan 2018  </t>
    </r>
  </si>
  <si>
    <r>
      <t xml:space="preserve">Gambar 6.3 Perbandingan Jumlah Klaim Berdasarkan </t>
    </r>
    <r>
      <rPr>
        <b/>
        <i/>
        <sz val="12"/>
        <rFont val="Times New Roman"/>
        <family val="1"/>
      </rPr>
      <t xml:space="preserve">Date of Loss </t>
    </r>
    <r>
      <rPr>
        <b/>
        <sz val="12"/>
        <rFont val="Times New Roman"/>
        <family val="1"/>
      </rPr>
      <t xml:space="preserve">                                             pada Tahun 2016, 2017, dan 2018 setiap Bulan dan Akumulasi</t>
    </r>
  </si>
  <si>
    <r>
      <t xml:space="preserve">Gambar 6.4 Perbandingan Komulatif Klaim Sudah Dilakukan </t>
    </r>
    <r>
      <rPr>
        <b/>
        <i/>
        <sz val="12"/>
        <rFont val="Times New Roman"/>
        <family val="1"/>
      </rPr>
      <t>Settled</t>
    </r>
    <r>
      <rPr>
        <b/>
        <sz val="12"/>
        <rFont val="Times New Roman"/>
        <family val="1"/>
      </rPr>
      <t xml:space="preserve"> Klaim pada Tahun 2016, 2017, dan 2018 Setiap Bulan </t>
    </r>
  </si>
  <si>
    <r>
      <t xml:space="preserve">7.2. Perbandingan Jumlah Klaim Berdasarkan </t>
    </r>
    <r>
      <rPr>
        <b/>
        <i/>
        <sz val="12"/>
        <rFont val="Times New Roman"/>
        <family val="1"/>
      </rPr>
      <t>Date of Loss</t>
    </r>
    <r>
      <rPr>
        <b/>
        <sz val="12"/>
        <rFont val="Times New Roman"/>
        <family val="1"/>
      </rPr>
      <t xml:space="preserve"> dan Jumlah </t>
    </r>
    <r>
      <rPr>
        <b/>
        <i/>
        <sz val="12"/>
        <rFont val="Times New Roman"/>
        <family val="1"/>
      </rPr>
      <t>Settled</t>
    </r>
    <r>
      <rPr>
        <b/>
        <sz val="12"/>
        <rFont val="Times New Roman"/>
        <family val="1"/>
      </rPr>
      <t xml:space="preserve"> pada Tahun 2016, 2017, dan 2018  </t>
    </r>
  </si>
  <si>
    <r>
      <t xml:space="preserve">Gambar 7.3 Perbandingan Jumlah Klaim Berdasarkan </t>
    </r>
    <r>
      <rPr>
        <b/>
        <i/>
        <sz val="12"/>
        <rFont val="Times New Roman"/>
        <family val="1"/>
      </rPr>
      <t>Date of Los</t>
    </r>
    <r>
      <rPr>
        <b/>
        <sz val="12"/>
        <rFont val="Times New Roman"/>
        <family val="1"/>
      </rPr>
      <t>s                                              pada Tahun 2016, 2017, dan 2018 setiap Bulan dan Akumulasi</t>
    </r>
  </si>
  <si>
    <r>
      <t xml:space="preserve">Gambar 7.4 Perbandingan Komulatif Klaim Sudah Dilakukan </t>
    </r>
    <r>
      <rPr>
        <b/>
        <i/>
        <sz val="12"/>
        <rFont val="Times New Roman"/>
        <family val="1"/>
      </rPr>
      <t>Settled</t>
    </r>
    <r>
      <rPr>
        <b/>
        <sz val="12"/>
        <rFont val="Times New Roman"/>
        <family val="1"/>
      </rPr>
      <t xml:space="preserve"> Klaim pada Tahun 2016, 2017, dan 2018 Setiap Bulan </t>
    </r>
  </si>
  <si>
    <t>27,02,18</t>
  </si>
  <si>
    <t>23,03,18</t>
  </si>
  <si>
    <t>01.31.16.000156</t>
  </si>
  <si>
    <t>Sakari Sumber Abadi</t>
  </si>
  <si>
    <t>TTG tidak setuju atas penawaran yang diberikan olah ACA</t>
  </si>
  <si>
    <t>30,05,18</t>
  </si>
  <si>
    <t>reminder 3 14,03,18  Bpk Hendro minta arahan ke HO 20,02,18 reminder Bapak Edo minta saran Bpk Herna dan Ibu Nana HO</t>
  </si>
  <si>
    <t>reminder Ibu Inge 07,05,18 Bpk edo minta konfirmasi ke IbU Inge 26,03,18 buat surat penolakan ke KACAB 27,02,18 klaim ditolak HO 20,02,18 menunggu copy polis dari JASINDO 11,01,18 Bpk Hendra reminder 2 Ibu Inge 30,11,17 ibu Fatma reminder ibu Inge 22,11,17 info ibu inge akan minta wording ddl ke JASINDO 21,11,17 reminder 5 minta penjelasan Ibu Inge, perihal dol diluar periode, yang menurut leader sudah di Hold 1 bulan JASINDO 21.11.17 reminder 5 minta penjelasan Ibu Inge. perihal dol diluar periode. yang menurut leader sudah di Hold 1 bulan</t>
  </si>
  <si>
    <t>02.31.18.090005</t>
  </si>
  <si>
    <t>Angkasa Pura 1</t>
  </si>
  <si>
    <t>Klaim ditolak HO, karena terlambat lapor dari pihak leader.</t>
  </si>
  <si>
    <t>buat penolakan ke KACAB</t>
  </si>
  <si>
    <t>LAPORAN KINERJA                                                KLAIM NON KENDARAAN BERMOTOR                                      PT. ASURANSI CENTRAL ASIA                                                                               CABANG SURABAYA 1                                                     (per 19 Juli 2018)</t>
  </si>
  <si>
    <t>05,07,18</t>
  </si>
  <si>
    <t xml:space="preserve">reminder 2 minta bukti pemberitahuan awal ke Bp. Siswanto JASINDO 20,04,18 reminder 2 Bpk Edo minta bnatuna ACA HO </t>
  </si>
  <si>
    <t>06,07,18</t>
  </si>
  <si>
    <t>Bpk Hendro email ke Ibu Masrianan dan usulkan adjustment cabang</t>
  </si>
  <si>
    <t>01.31.18.000006</t>
  </si>
  <si>
    <t>Bank Maspion qq Guinco Kota Mas</t>
  </si>
  <si>
    <t xml:space="preserve">klaim berpotensi under deductible, </t>
  </si>
  <si>
    <t>07,06,18</t>
  </si>
  <si>
    <t>belum diputuskan klaim ditolak atau tidak</t>
  </si>
  <si>
    <t>83101021805000001</t>
  </si>
  <si>
    <t>Geraja Pantekosta Pusat Surabaya</t>
  </si>
  <si>
    <t>klaim ditolak, menunggu TTG memutuskan ajukan ex-gratia atau tidal</t>
  </si>
  <si>
    <t>08,06,18</t>
  </si>
  <si>
    <t>11,07,18</t>
  </si>
  <si>
    <t>reminder 7 TTG 21,11,17 Bpk Hendro reminder ke TTG 11.08.17 Bpk Hendro email ke TTG minta tanggapan permintaan dokumen ,25.07.17 ajukan kembali penolakan dokumen ke KACAB, 17,05,2018 Pak Surya telpon ke pak Henry</t>
  </si>
  <si>
    <t>reminder 5, 14,03,18  Bpk Hendro minta arahan ke HO 20,02,18 reminder Bapak Edo minta saran Bpk Herna dan Ibu Nana HO</t>
  </si>
  <si>
    <t>29.31.17.490027</t>
  </si>
  <si>
    <t>Nurul Aini Ongkowidjoyo</t>
  </si>
  <si>
    <t>Tertanggung tidak memberikan tanggapan atas permintaan dokumen</t>
  </si>
  <si>
    <t>16,07,18</t>
  </si>
  <si>
    <t>reminder 11  29,11,17 kirim permintaan dokumen ke TTG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</si>
</sst>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quot;)&quot;"/>
    <numFmt numFmtId="165" formatCode="0.0%"/>
  </numFmts>
  <fonts count="18" x14ac:knownFonts="1">
    <font>
      <sz val="11"/>
      <color theme="1"/>
      <name val="Calibri"/>
      <family val="2"/>
      <scheme val="minor"/>
    </font>
    <font>
      <sz val="11"/>
      <color theme="1"/>
      <name val="Calibri"/>
      <family val="2"/>
      <charset val="1"/>
      <scheme val="minor"/>
    </font>
    <font>
      <sz val="10"/>
      <name val="Arial"/>
      <family val="2"/>
    </font>
    <font>
      <b/>
      <sz val="10"/>
      <name val="Arial"/>
      <family val="2"/>
    </font>
    <font>
      <sz val="12"/>
      <name val="Times New Roman"/>
      <family val="1"/>
    </font>
    <font>
      <i/>
      <sz val="12"/>
      <name val="Times New Roman"/>
      <family val="1"/>
    </font>
    <font>
      <b/>
      <sz val="12"/>
      <name val="Times New Roman"/>
      <family val="1"/>
    </font>
    <font>
      <b/>
      <i/>
      <sz val="12"/>
      <name val="Times New Roman"/>
      <family val="1"/>
    </font>
    <font>
      <sz val="20"/>
      <name val="Arial Black"/>
      <family val="2"/>
    </font>
    <font>
      <b/>
      <sz val="9"/>
      <name val="Arial"/>
      <family val="2"/>
    </font>
    <font>
      <b/>
      <sz val="8"/>
      <name val="Arial"/>
      <family val="2"/>
    </font>
    <font>
      <b/>
      <sz val="11"/>
      <color theme="1"/>
      <name val="Calibri"/>
      <family val="2"/>
      <scheme val="minor"/>
    </font>
    <font>
      <sz val="11"/>
      <color theme="1"/>
      <name val="Calibri"/>
      <family val="2"/>
      <scheme val="minor"/>
    </font>
    <font>
      <i/>
      <sz val="10"/>
      <name val="Arial"/>
      <family val="2"/>
    </font>
    <font>
      <sz val="9"/>
      <name val="Arial"/>
      <family val="2"/>
    </font>
    <font>
      <i/>
      <sz val="9"/>
      <name val="Arial"/>
      <family val="2"/>
    </font>
    <font>
      <sz val="12"/>
      <color theme="1"/>
      <name val="Times New Roman"/>
      <family val="1"/>
    </font>
    <font>
      <sz val="12"/>
      <name val="Arial Black"/>
      <family val="2"/>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double">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style="thin">
        <color indexed="64"/>
      </left>
      <right style="thin">
        <color indexed="64"/>
      </right>
      <top/>
      <bottom/>
      <diagonal/>
    </border>
  </borders>
  <cellStyleXfs count="8">
    <xf numFmtId="0" fontId="0"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9" fontId="12" fillId="0" borderId="0" applyFont="0" applyFill="0" applyBorder="0" applyAlignment="0" applyProtection="0"/>
    <xf numFmtId="0" fontId="12" fillId="0" borderId="0"/>
    <xf numFmtId="0" fontId="1" fillId="0" borderId="0"/>
  </cellStyleXfs>
  <cellXfs count="102">
    <xf numFmtId="0" fontId="0" fillId="0" borderId="0" xfId="0"/>
    <xf numFmtId="0" fontId="2" fillId="0" borderId="0" xfId="1"/>
    <xf numFmtId="0" fontId="6" fillId="0" borderId="0" xfId="1" applyFont="1"/>
    <xf numFmtId="0" fontId="3" fillId="0" borderId="1" xfId="1" applyFont="1" applyBorder="1"/>
    <xf numFmtId="0" fontId="2" fillId="0" borderId="0" xfId="1" applyAlignment="1">
      <alignment wrapText="1"/>
    </xf>
    <xf numFmtId="0" fontId="0" fillId="0" borderId="0" xfId="0" applyAlignment="1">
      <alignment wrapText="1"/>
    </xf>
    <xf numFmtId="0" fontId="4" fillId="0" borderId="0" xfId="1" applyFont="1" applyAlignment="1">
      <alignment vertical="center" wrapText="1"/>
    </xf>
    <xf numFmtId="0" fontId="6" fillId="2" borderId="0" xfId="1" applyFont="1" applyFill="1" applyAlignment="1">
      <alignment horizontal="center" vertical="center" wrapText="1"/>
    </xf>
    <xf numFmtId="0" fontId="9" fillId="0" borderId="1" xfId="1" applyFont="1" applyBorder="1"/>
    <xf numFmtId="0" fontId="10" fillId="0" borderId="1" xfId="1" applyFont="1" applyBorder="1"/>
    <xf numFmtId="0" fontId="11" fillId="0" borderId="4" xfId="0" applyFont="1" applyBorder="1" applyAlignment="1">
      <alignment horizontal="center"/>
    </xf>
    <xf numFmtId="0" fontId="0" fillId="0" borderId="6" xfId="0" applyBorder="1"/>
    <xf numFmtId="0" fontId="0" fillId="0" borderId="7" xfId="0" applyBorder="1"/>
    <xf numFmtId="0" fontId="0" fillId="0" borderId="9" xfId="0" applyBorder="1"/>
    <xf numFmtId="0" fontId="0" fillId="0" borderId="10" xfId="0" applyBorder="1"/>
    <xf numFmtId="0" fontId="0" fillId="0" borderId="11" xfId="0" applyBorder="1"/>
    <xf numFmtId="0" fontId="0" fillId="0" borderId="4" xfId="0" applyBorder="1"/>
    <xf numFmtId="0" fontId="11" fillId="0" borderId="3" xfId="0" applyFont="1" applyBorder="1"/>
    <xf numFmtId="0" fontId="0" fillId="0" borderId="1" xfId="0" applyBorder="1"/>
    <xf numFmtId="0" fontId="0" fillId="0" borderId="12" xfId="0" applyBorder="1" applyAlignment="1">
      <alignment vertical="center"/>
    </xf>
    <xf numFmtId="0" fontId="0" fillId="0" borderId="13" xfId="0" applyBorder="1" applyAlignment="1">
      <alignment vertical="center"/>
    </xf>
    <xf numFmtId="0" fontId="11" fillId="0" borderId="11" xfId="0" applyFont="1" applyBorder="1"/>
    <xf numFmtId="0" fontId="3" fillId="0" borderId="0" xfId="1" applyFont="1"/>
    <xf numFmtId="0" fontId="3" fillId="0" borderId="14" xfId="1" applyFont="1" applyBorder="1"/>
    <xf numFmtId="0" fontId="3" fillId="0" borderId="16" xfId="1" applyFont="1" applyBorder="1" applyAlignment="1">
      <alignment horizontal="right"/>
    </xf>
    <xf numFmtId="0" fontId="9" fillId="0" borderId="1" xfId="1" applyFont="1" applyBorder="1" applyAlignment="1">
      <alignment wrapText="1"/>
    </xf>
    <xf numFmtId="10" fontId="3" fillId="0" borderId="1" xfId="5" applyNumberFormat="1" applyFont="1" applyBorder="1" applyAlignment="1">
      <alignment vertical="center"/>
    </xf>
    <xf numFmtId="0" fontId="8" fillId="0" borderId="0" xfId="1" applyFont="1" applyAlignment="1">
      <alignment horizontal="center" vertical="center" wrapText="1"/>
    </xf>
    <xf numFmtId="10" fontId="2" fillId="0" borderId="0" xfId="5" applyNumberFormat="1" applyFont="1"/>
    <xf numFmtId="0" fontId="2" fillId="0" borderId="0" xfId="1" applyAlignment="1">
      <alignment horizontal="right"/>
    </xf>
    <xf numFmtId="0" fontId="14" fillId="0" borderId="0" xfId="1" applyFont="1"/>
    <xf numFmtId="0" fontId="4" fillId="0" borderId="0" xfId="1" applyFont="1" applyAlignment="1">
      <alignment horizontal="center" vertical="center"/>
    </xf>
    <xf numFmtId="0" fontId="16" fillId="0" borderId="0" xfId="0" applyFont="1" applyAlignment="1">
      <alignment horizontal="center" vertical="center"/>
    </xf>
    <xf numFmtId="0" fontId="4" fillId="0" borderId="1" xfId="1" applyFont="1" applyBorder="1" applyAlignment="1">
      <alignment horizontal="left" vertical="center" wrapText="1"/>
    </xf>
    <xf numFmtId="0" fontId="6" fillId="0" borderId="1" xfId="1" applyFont="1" applyBorder="1" applyAlignment="1">
      <alignment horizontal="center" vertical="center" wrapText="1"/>
    </xf>
    <xf numFmtId="0" fontId="4" fillId="0" borderId="1" xfId="1" applyFont="1" applyBorder="1" applyAlignment="1">
      <alignment vertical="center" wrapText="1"/>
    </xf>
    <xf numFmtId="0" fontId="6" fillId="0" borderId="1" xfId="1" applyFont="1" applyBorder="1" applyAlignment="1">
      <alignment horizontal="center" vertical="center"/>
    </xf>
    <xf numFmtId="0" fontId="4" fillId="0" borderId="1" xfId="1" applyFont="1" applyBorder="1" applyAlignment="1">
      <alignment horizontal="center" vertical="center"/>
    </xf>
    <xf numFmtId="0" fontId="4" fillId="0" borderId="18" xfId="1" applyFont="1" applyBorder="1" applyAlignment="1">
      <alignment horizontal="center" vertical="center"/>
    </xf>
    <xf numFmtId="0" fontId="4" fillId="0" borderId="18" xfId="1" applyFont="1" applyBorder="1" applyAlignment="1">
      <alignment vertical="center" wrapText="1"/>
    </xf>
    <xf numFmtId="0" fontId="8" fillId="0" borderId="0" xfId="1" applyFont="1" applyAlignment="1">
      <alignment vertical="center" wrapText="1"/>
    </xf>
    <xf numFmtId="0" fontId="17" fillId="0" borderId="0" xfId="1" applyFont="1" applyAlignment="1">
      <alignment wrapText="1"/>
    </xf>
    <xf numFmtId="21" fontId="4" fillId="0" borderId="1" xfId="1" quotePrefix="1" applyNumberFormat="1" applyFont="1" applyBorder="1" applyAlignment="1">
      <alignment horizontal="left" vertical="center" wrapText="1"/>
    </xf>
    <xf numFmtId="0" fontId="4" fillId="0" borderId="1" xfId="6" applyFont="1" applyBorder="1" applyAlignment="1" applyProtection="1">
      <alignment vertical="center" wrapText="1"/>
      <protection locked="0"/>
    </xf>
    <xf numFmtId="10" fontId="2" fillId="0" borderId="0" xfId="5" applyNumberFormat="1" applyFont="1" applyAlignment="1"/>
    <xf numFmtId="10" fontId="2" fillId="0" borderId="0" xfId="5" applyNumberFormat="1" applyFont="1" applyAlignment="1">
      <alignment horizontal="right"/>
    </xf>
    <xf numFmtId="0" fontId="3" fillId="0" borderId="21" xfId="4" applyFont="1" applyBorder="1" applyAlignment="1">
      <alignment horizontal="center"/>
    </xf>
    <xf numFmtId="0" fontId="2" fillId="2" borderId="11" xfId="0" applyFont="1" applyFill="1" applyBorder="1" applyAlignment="1">
      <alignment vertical="center" wrapText="1"/>
    </xf>
    <xf numFmtId="0" fontId="2" fillId="2" borderId="12" xfId="0" applyFont="1" applyFill="1" applyBorder="1" applyAlignment="1">
      <alignment vertical="center"/>
    </xf>
    <xf numFmtId="0" fontId="2" fillId="2" borderId="12" xfId="0" applyFont="1" applyFill="1" applyBorder="1" applyAlignment="1">
      <alignment horizontal="center" vertical="center" wrapText="1"/>
    </xf>
    <xf numFmtId="165" fontId="3" fillId="0" borderId="1" xfId="5" applyNumberFormat="1" applyFont="1" applyBorder="1"/>
    <xf numFmtId="0" fontId="2" fillId="3" borderId="24" xfId="0" applyFont="1" applyFill="1" applyBorder="1" applyAlignment="1">
      <alignment vertical="center" wrapText="1"/>
    </xf>
    <xf numFmtId="0" fontId="2" fillId="3" borderId="23" xfId="0" applyFont="1" applyFill="1" applyBorder="1" applyAlignment="1">
      <alignment vertical="center" wrapText="1"/>
    </xf>
    <xf numFmtId="0" fontId="2" fillId="3" borderId="22" xfId="0" applyFont="1" applyFill="1" applyBorder="1" applyAlignment="1">
      <alignment vertical="center" wrapText="1"/>
    </xf>
    <xf numFmtId="0" fontId="3" fillId="0" borderId="15" xfId="1" applyFont="1" applyBorder="1"/>
    <xf numFmtId="22" fontId="4" fillId="0" borderId="1" xfId="6" quotePrefix="1" applyNumberFormat="1" applyFont="1" applyBorder="1" applyAlignment="1" applyProtection="1">
      <alignment vertical="center" wrapText="1"/>
      <protection locked="0"/>
    </xf>
    <xf numFmtId="10" fontId="2" fillId="0" borderId="0" xfId="5" applyNumberFormat="1" applyFont="1" applyBorder="1" applyAlignment="1"/>
    <xf numFmtId="164" fontId="2" fillId="0" borderId="0" xfId="5" applyNumberFormat="1" applyFont="1"/>
    <xf numFmtId="164" fontId="2" fillId="0" borderId="0" xfId="5" applyNumberFormat="1" applyFont="1" applyAlignment="1">
      <alignment horizontal="left"/>
    </xf>
    <xf numFmtId="0" fontId="4" fillId="0" borderId="1" xfId="1" quotePrefix="1" applyFont="1" applyBorder="1" applyAlignment="1">
      <alignment horizontal="left" vertical="center" wrapText="1"/>
    </xf>
    <xf numFmtId="0" fontId="4" fillId="0" borderId="18" xfId="1" applyFont="1" applyBorder="1" applyAlignment="1">
      <alignment horizontal="left" vertical="center" wrapText="1"/>
    </xf>
    <xf numFmtId="0" fontId="4" fillId="0" borderId="0" xfId="1" applyFont="1" applyAlignment="1">
      <alignment horizontal="left" vertical="center" wrapText="1"/>
    </xf>
    <xf numFmtId="0" fontId="6" fillId="0" borderId="2" xfId="1" applyFont="1" applyBorder="1" applyAlignment="1">
      <alignment horizontal="left" vertical="center" wrapText="1"/>
    </xf>
    <xf numFmtId="0" fontId="8" fillId="0" borderId="0" xfId="1" applyFont="1" applyAlignment="1">
      <alignment horizontal="center" vertical="center" wrapText="1"/>
    </xf>
    <xf numFmtId="0" fontId="6" fillId="2" borderId="0" xfId="1" applyFont="1" applyFill="1" applyAlignment="1">
      <alignment horizontal="center" vertical="center" wrapText="1"/>
    </xf>
    <xf numFmtId="0" fontId="3" fillId="0" borderId="17" xfId="1" applyFont="1" applyBorder="1" applyAlignment="1">
      <alignment horizontal="right"/>
    </xf>
    <xf numFmtId="0" fontId="6" fillId="0" borderId="0" xfId="1" applyFont="1" applyAlignment="1">
      <alignment horizontal="left" vertical="center" wrapText="1"/>
    </xf>
    <xf numFmtId="0" fontId="3" fillId="0" borderId="1" xfId="1" applyFont="1" applyBorder="1" applyAlignment="1">
      <alignment horizontal="right" vertical="center" wrapText="1"/>
    </xf>
    <xf numFmtId="0" fontId="4" fillId="0" borderId="0" xfId="1" applyFont="1" applyAlignment="1">
      <alignment horizontal="left" vertical="top" wrapText="1"/>
    </xf>
    <xf numFmtId="0" fontId="9" fillId="0" borderId="18" xfId="1" applyFont="1" applyBorder="1" applyAlignment="1">
      <alignment horizontal="left" vertical="center"/>
    </xf>
    <xf numFmtId="0" fontId="9" fillId="0" borderId="19" xfId="1" applyFont="1" applyBorder="1" applyAlignment="1">
      <alignment horizontal="left" vertical="center"/>
    </xf>
    <xf numFmtId="0" fontId="2" fillId="0" borderId="20" xfId="1" applyBorder="1" applyAlignment="1">
      <alignment horizontal="right"/>
    </xf>
    <xf numFmtId="0" fontId="9" fillId="0" borderId="1" xfId="1" applyFont="1" applyBorder="1" applyAlignment="1">
      <alignment horizontal="left" vertical="center" wrapText="1"/>
    </xf>
    <xf numFmtId="0" fontId="4" fillId="0" borderId="18" xfId="1" applyFont="1" applyBorder="1" applyAlignment="1">
      <alignment horizontal="left" vertical="center" wrapText="1"/>
    </xf>
    <xf numFmtId="0" fontId="4" fillId="0" borderId="26" xfId="1" applyFont="1" applyBorder="1" applyAlignment="1">
      <alignment horizontal="left" vertical="center" wrapText="1"/>
    </xf>
    <xf numFmtId="0" fontId="4" fillId="0" borderId="19" xfId="1" applyFont="1" applyBorder="1" applyAlignment="1">
      <alignment horizontal="left" vertical="center" wrapText="1"/>
    </xf>
    <xf numFmtId="21" fontId="4" fillId="0" borderId="18" xfId="1" quotePrefix="1" applyNumberFormat="1" applyFont="1" applyBorder="1" applyAlignment="1">
      <alignment horizontal="center" vertical="center" wrapText="1"/>
    </xf>
    <xf numFmtId="21" fontId="4" fillId="0" borderId="26" xfId="1" quotePrefix="1" applyNumberFormat="1" applyFont="1" applyBorder="1" applyAlignment="1">
      <alignment horizontal="center" vertical="center" wrapText="1"/>
    </xf>
    <xf numFmtId="21" fontId="4" fillId="0" borderId="19" xfId="1" quotePrefix="1" applyNumberFormat="1" applyFont="1" applyBorder="1" applyAlignment="1">
      <alignment horizontal="center" vertical="center" wrapText="1"/>
    </xf>
    <xf numFmtId="21" fontId="4" fillId="0" borderId="18" xfId="1" quotePrefix="1" applyNumberFormat="1" applyFont="1" applyBorder="1" applyAlignment="1">
      <alignment horizontal="left" vertical="center" wrapText="1"/>
    </xf>
    <xf numFmtId="21" fontId="4" fillId="0" borderId="26" xfId="1" applyNumberFormat="1" applyFont="1" applyBorder="1" applyAlignment="1">
      <alignment horizontal="left" vertical="center" wrapText="1"/>
    </xf>
    <xf numFmtId="21" fontId="4" fillId="0" borderId="19" xfId="1" applyNumberFormat="1" applyFont="1" applyBorder="1" applyAlignment="1">
      <alignment horizontal="left" vertical="center" wrapText="1"/>
    </xf>
    <xf numFmtId="0" fontId="4" fillId="0" borderId="18" xfId="1" applyFont="1" applyBorder="1" applyAlignment="1">
      <alignment horizontal="center" vertical="center" wrapText="1"/>
    </xf>
    <xf numFmtId="0" fontId="4" fillId="0" borderId="26" xfId="1" applyFont="1" applyBorder="1" applyAlignment="1">
      <alignment horizontal="center" vertical="center" wrapText="1"/>
    </xf>
    <xf numFmtId="0" fontId="4" fillId="0" borderId="19" xfId="1" applyFont="1" applyBorder="1" applyAlignment="1">
      <alignment horizontal="center" vertical="center" wrapText="1"/>
    </xf>
    <xf numFmtId="0" fontId="4" fillId="0" borderId="0" xfId="1" applyFont="1" applyAlignment="1">
      <alignment horizontal="center" vertical="top" wrapText="1"/>
    </xf>
    <xf numFmtId="0" fontId="6" fillId="2" borderId="0" xfId="1" applyFont="1" applyFill="1" applyAlignment="1">
      <alignment horizontal="center" wrapText="1"/>
    </xf>
    <xf numFmtId="0" fontId="8" fillId="0" borderId="0" xfId="1" quotePrefix="1" applyFont="1" applyAlignment="1">
      <alignment horizontal="center" wrapText="1"/>
    </xf>
    <xf numFmtId="0" fontId="17" fillId="0" borderId="0" xfId="1" applyFont="1" applyAlignment="1">
      <alignment horizontal="center" wrapText="1"/>
    </xf>
    <xf numFmtId="0" fontId="17" fillId="0" borderId="0" xfId="1" applyFont="1" applyAlignment="1">
      <alignment horizontal="left" wrapText="1"/>
    </xf>
    <xf numFmtId="0" fontId="11" fillId="0" borderId="3" xfId="0" applyFont="1" applyBorder="1" applyAlignment="1">
      <alignment horizontal="center"/>
    </xf>
    <xf numFmtId="0" fontId="11" fillId="0" borderId="4" xfId="0" applyFont="1" applyBorder="1" applyAlignment="1">
      <alignment horizont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0" xfId="0"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25" xfId="0" applyBorder="1" applyAlignment="1">
      <alignment horizontal="center"/>
    </xf>
    <xf numFmtId="0" fontId="2" fillId="2" borderId="12"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12" xfId="0" applyFont="1" applyFill="1" applyBorder="1" applyAlignment="1">
      <alignment horizontal="center" vertical="center" wrapText="1"/>
    </xf>
    <xf numFmtId="0" fontId="2" fillId="2" borderId="15" xfId="0" applyFont="1" applyFill="1" applyBorder="1" applyAlignment="1">
      <alignment horizontal="center" vertical="center" wrapText="1"/>
    </xf>
  </cellXfs>
  <cellStyles count="8">
    <cellStyle name="Comma 4" xfId="2" xr:uid="{00000000-0005-0000-0000-000000000000}"/>
    <cellStyle name="Normal" xfId="0" builtinId="0"/>
    <cellStyle name="Normal 2" xfId="6" xr:uid="{00000000-0005-0000-0000-000002000000}"/>
    <cellStyle name="Normal 2 2" xfId="4" xr:uid="{00000000-0005-0000-0000-000003000000}"/>
    <cellStyle name="Normal 2 4" xfId="1" xr:uid="{00000000-0005-0000-0000-000004000000}"/>
    <cellStyle name="Normal 3" xfId="7" xr:uid="{00000000-0005-0000-0000-000005000000}"/>
    <cellStyle name="Percent" xfId="5" builtinId="5"/>
    <cellStyle name="Percent 3" xfId="3"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50.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5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0397200412122057E-3"/>
          <c:y val="0.10124986523952782"/>
          <c:w val="0.9695110822244839"/>
          <c:h val="0.8892670717134592"/>
        </c:manualLayout>
      </c:layout>
      <c:pie3DChart>
        <c:varyColors val="1"/>
        <c:ser>
          <c:idx val="0"/>
          <c:order val="0"/>
          <c:explosion val="26"/>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6E1-45E5-944C-716E2289C35B}"/>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6E1-45E5-944C-716E2289C35B}"/>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6E1-45E5-944C-716E2289C35B}"/>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F6E1-45E5-944C-716E2289C35B}"/>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F6E1-45E5-944C-716E2289C35B}"/>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F6E1-45E5-944C-716E2289C35B}"/>
              </c:ext>
            </c:extLst>
          </c:dPt>
          <c:dLbls>
            <c:dLbl>
              <c:idx val="0"/>
              <c:layout>
                <c:manualLayout>
                  <c:x val="4.3312661180904813E-3"/>
                  <c:y val="-7.843455672372151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6E1-45E5-944C-716E2289C35B}"/>
                </c:ext>
              </c:extLst>
            </c:dLbl>
            <c:dLbl>
              <c:idx val="1"/>
              <c:layout>
                <c:manualLayout>
                  <c:x val="-0.13840248657425822"/>
                  <c:y val="0.1586453811099570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6E1-45E5-944C-716E2289C35B}"/>
                </c:ext>
              </c:extLst>
            </c:dLbl>
            <c:dLbl>
              <c:idx val="2"/>
              <c:layout>
                <c:manualLayout>
                  <c:x val="-1.9771783796322585E-2"/>
                  <c:y val="-1.160819861780173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6E1-45E5-944C-716E2289C35B}"/>
                </c:ext>
              </c:extLst>
            </c:dLbl>
            <c:dLbl>
              <c:idx val="3"/>
              <c:layout>
                <c:manualLayout>
                  <c:x val="-0.14828837847241957"/>
                  <c:y val="-9.286558894241392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6E1-45E5-944C-716E2289C35B}"/>
                </c:ext>
              </c:extLst>
            </c:dLbl>
            <c:dLbl>
              <c:idx val="5"/>
              <c:layout>
                <c:manualLayout>
                  <c:x val="-1.3840248657425823E-2"/>
                  <c:y val="-0.1857311778848277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F6E1-45E5-944C-716E2289C35B}"/>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Calculate!$A$2:$A$13</c15:sqref>
                  </c15:fullRef>
                </c:ext>
              </c:extLst>
              <c:f>(Calculate!$A$2,Calculate!$A$4,Calculate!$A$6,Calculate!$A$8,Calculate!$A$10,Calculate!$A$12)</c:f>
              <c:strCache>
                <c:ptCount val="6"/>
                <c:pt idx="0">
                  <c:v>Fire</c:v>
                </c:pt>
                <c:pt idx="1">
                  <c:v>Cargo</c:v>
                </c:pt>
                <c:pt idx="2">
                  <c:v>Hull</c:v>
                </c:pt>
                <c:pt idx="3">
                  <c:v>CPM</c:v>
                </c:pt>
                <c:pt idx="4">
                  <c:v>Casualty</c:v>
                </c:pt>
                <c:pt idx="5">
                  <c:v>Engineering</c:v>
                </c:pt>
              </c:strCache>
            </c:strRef>
          </c:cat>
          <c:val>
            <c:numRef>
              <c:extLst>
                <c:ext xmlns:c15="http://schemas.microsoft.com/office/drawing/2012/chart" uri="{02D57815-91ED-43cb-92C2-25804820EDAC}">
                  <c15:fullRef>
                    <c15:sqref>Calculate!$T$2:$T$13</c15:sqref>
                  </c15:fullRef>
                </c:ext>
              </c:extLst>
              <c:f>(Calculate!$T$2,Calculate!$T$4,Calculate!$T$6,Calculate!$T$8,Calculate!$T$10,Calculate!$T$12)</c:f>
              <c:numCache>
                <c:formatCode>General</c:formatCode>
                <c:ptCount val="6"/>
                <c:pt idx="0">
                  <c:v>985</c:v>
                </c:pt>
                <c:pt idx="1">
                  <c:v>305</c:v>
                </c:pt>
                <c:pt idx="2">
                  <c:v>27</c:v>
                </c:pt>
                <c:pt idx="3">
                  <c:v>94</c:v>
                </c:pt>
                <c:pt idx="4">
                  <c:v>185</c:v>
                </c:pt>
                <c:pt idx="5">
                  <c:v>150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C-F6E1-45E5-944C-716E2289C35B}"/>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7004551929998616E-2"/>
          <c:y val="0.10124986523952782"/>
          <c:w val="0.85690844016398782"/>
          <c:h val="0.78615386949463684"/>
        </c:manualLayout>
      </c:layout>
      <c:pie3DChart>
        <c:varyColors val="1"/>
        <c:ser>
          <c:idx val="0"/>
          <c:order val="0"/>
          <c:explosion val="26"/>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606-49E8-8CC3-619911DD7D92}"/>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606-49E8-8CC3-619911DD7D92}"/>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2606-49E8-8CC3-619911DD7D92}"/>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2606-49E8-8CC3-619911DD7D92}"/>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2606-49E8-8CC3-619911DD7D92}"/>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2606-49E8-8CC3-619911DD7D92}"/>
              </c:ext>
            </c:extLst>
          </c:dPt>
          <c:dLbls>
            <c:dLbl>
              <c:idx val="0"/>
              <c:layout>
                <c:manualLayout>
                  <c:x val="5.257566135262068E-3"/>
                  <c:y val="-8.513245377606751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606-49E8-8CC3-619911DD7D92}"/>
                </c:ext>
              </c:extLst>
            </c:dLbl>
            <c:dLbl>
              <c:idx val="1"/>
              <c:layout>
                <c:manualLayout>
                  <c:x val="7.8045289444431579E-2"/>
                  <c:y val="0.2579061271684967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606-49E8-8CC3-619911DD7D92}"/>
                </c:ext>
              </c:extLst>
            </c:dLbl>
            <c:dLbl>
              <c:idx val="2"/>
              <c:layout>
                <c:manualLayout>
                  <c:x val="1.5609057888886333E-2"/>
                  <c:y val="0.2539383405966738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606-49E8-8CC3-619911DD7D92}"/>
                </c:ext>
              </c:extLst>
            </c:dLbl>
            <c:dLbl>
              <c:idx val="3"/>
              <c:layout>
                <c:manualLayout>
                  <c:x val="-2.0068788714282509E-2"/>
                  <c:y val="0.2460027674530278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606-49E8-8CC3-619911DD7D92}"/>
                </c:ext>
              </c:extLst>
            </c:dLbl>
            <c:dLbl>
              <c:idx val="4"/>
              <c:layout>
                <c:manualLayout>
                  <c:x val="-4.9132959877460185E-2"/>
                  <c:y val="4.364565229005332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606-49E8-8CC3-619911DD7D92}"/>
                </c:ext>
              </c:extLst>
            </c:dLbl>
            <c:dLbl>
              <c:idx val="5"/>
              <c:layout>
                <c:manualLayout>
                  <c:x val="-0.16776722756841711"/>
                  <c:y val="-0.1415818721516681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2606-49E8-8CC3-619911DD7D9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Calculate!$A$2:$A$13</c15:sqref>
                  </c15:fullRef>
                </c:ext>
              </c:extLst>
              <c:f>(Calculate!$A$2,Calculate!$A$4,Calculate!$A$6,Calculate!$A$8,Calculate!$A$10,Calculate!$A$12)</c:f>
              <c:strCache>
                <c:ptCount val="6"/>
                <c:pt idx="0">
                  <c:v>Fire</c:v>
                </c:pt>
                <c:pt idx="1">
                  <c:v>Cargo</c:v>
                </c:pt>
                <c:pt idx="2">
                  <c:v>Hull</c:v>
                </c:pt>
                <c:pt idx="3">
                  <c:v>CPM</c:v>
                </c:pt>
                <c:pt idx="4">
                  <c:v>Casualty</c:v>
                </c:pt>
                <c:pt idx="5">
                  <c:v>Engineering</c:v>
                </c:pt>
              </c:strCache>
            </c:strRef>
          </c:cat>
          <c:val>
            <c:numRef>
              <c:extLst>
                <c:ext xmlns:c15="http://schemas.microsoft.com/office/drawing/2012/chart" uri="{02D57815-91ED-43cb-92C2-25804820EDAC}">
                  <c15:fullRef>
                    <c15:sqref>Calculate!$U$2:$U$13</c15:sqref>
                  </c15:fullRef>
                </c:ext>
              </c:extLst>
              <c:f>(Calculate!$U$2,Calculate!$U$4,Calculate!$U$6,Calculate!$U$8,Calculate!$U$10,Calculate!$U$12)</c:f>
              <c:numCache>
                <c:formatCode>General</c:formatCode>
                <c:ptCount val="6"/>
                <c:pt idx="0">
                  <c:v>93</c:v>
                </c:pt>
                <c:pt idx="1">
                  <c:v>27</c:v>
                </c:pt>
                <c:pt idx="2">
                  <c:v>6</c:v>
                </c:pt>
                <c:pt idx="3">
                  <c:v>65</c:v>
                </c:pt>
                <c:pt idx="4">
                  <c:v>8</c:v>
                </c:pt>
                <c:pt idx="5">
                  <c:v>46</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C-2606-49E8-8CC3-619911DD7D92}"/>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Calculate!$A$19</c:f>
              <c:strCache>
                <c:ptCount val="1"/>
                <c:pt idx="0">
                  <c:v>Fire</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Lit>
              <c:formatCode>General</c:formatCode>
              <c:ptCount val="9"/>
              <c:pt idx="0">
                <c:v>2010</c:v>
              </c:pt>
              <c:pt idx="1">
                <c:v>2011</c:v>
              </c:pt>
              <c:pt idx="2">
                <c:v>2012</c:v>
              </c:pt>
              <c:pt idx="3">
                <c:v>2013</c:v>
              </c:pt>
              <c:pt idx="4">
                <c:v>2014</c:v>
              </c:pt>
              <c:pt idx="5">
                <c:v>2015</c:v>
              </c:pt>
              <c:pt idx="6">
                <c:v>2016</c:v>
              </c:pt>
              <c:pt idx="7">
                <c:v>2017</c:v>
              </c:pt>
              <c:pt idx="8">
                <c:v>2018</c:v>
              </c:pt>
            </c:numLit>
          </c:cat>
          <c:val>
            <c:numRef>
              <c:f>Calculate!$C$19:$K$19</c:f>
              <c:numCache>
                <c:formatCode>General</c:formatCode>
                <c:ptCount val="9"/>
                <c:pt idx="0">
                  <c:v>136</c:v>
                </c:pt>
                <c:pt idx="1">
                  <c:v>80</c:v>
                </c:pt>
                <c:pt idx="2">
                  <c:v>107</c:v>
                </c:pt>
                <c:pt idx="3">
                  <c:v>118</c:v>
                </c:pt>
                <c:pt idx="4">
                  <c:v>107</c:v>
                </c:pt>
                <c:pt idx="5">
                  <c:v>100</c:v>
                </c:pt>
                <c:pt idx="6">
                  <c:v>168</c:v>
                </c:pt>
                <c:pt idx="7">
                  <c:v>134</c:v>
                </c:pt>
                <c:pt idx="8">
                  <c:v>35</c:v>
                </c:pt>
              </c:numCache>
            </c:numRef>
          </c:val>
          <c:extLst>
            <c:ext xmlns:c16="http://schemas.microsoft.com/office/drawing/2014/chart" uri="{C3380CC4-5D6E-409C-BE32-E72D297353CC}">
              <c16:uniqueId val="{00000000-3640-4699-8B4F-58085C9A18CC}"/>
            </c:ext>
          </c:extLst>
        </c:ser>
        <c:ser>
          <c:idx val="1"/>
          <c:order val="1"/>
          <c:tx>
            <c:strRef>
              <c:f>Calculate!$A$20</c:f>
              <c:strCache>
                <c:ptCount val="1"/>
                <c:pt idx="0">
                  <c:v>Cargo</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Lit>
              <c:formatCode>General</c:formatCode>
              <c:ptCount val="9"/>
              <c:pt idx="0">
                <c:v>2010</c:v>
              </c:pt>
              <c:pt idx="1">
                <c:v>2011</c:v>
              </c:pt>
              <c:pt idx="2">
                <c:v>2012</c:v>
              </c:pt>
              <c:pt idx="3">
                <c:v>2013</c:v>
              </c:pt>
              <c:pt idx="4">
                <c:v>2014</c:v>
              </c:pt>
              <c:pt idx="5">
                <c:v>2015</c:v>
              </c:pt>
              <c:pt idx="6">
                <c:v>2016</c:v>
              </c:pt>
              <c:pt idx="7">
                <c:v>2017</c:v>
              </c:pt>
              <c:pt idx="8">
                <c:v>2018</c:v>
              </c:pt>
            </c:numLit>
          </c:cat>
          <c:val>
            <c:numRef>
              <c:f>Calculate!$C$20:$K$20</c:f>
              <c:numCache>
                <c:formatCode>General</c:formatCode>
                <c:ptCount val="9"/>
                <c:pt idx="0">
                  <c:v>33</c:v>
                </c:pt>
                <c:pt idx="1">
                  <c:v>33</c:v>
                </c:pt>
                <c:pt idx="2">
                  <c:v>36</c:v>
                </c:pt>
                <c:pt idx="3">
                  <c:v>52</c:v>
                </c:pt>
                <c:pt idx="4">
                  <c:v>48</c:v>
                </c:pt>
                <c:pt idx="5">
                  <c:v>35</c:v>
                </c:pt>
                <c:pt idx="6">
                  <c:v>37</c:v>
                </c:pt>
                <c:pt idx="7">
                  <c:v>20</c:v>
                </c:pt>
                <c:pt idx="8">
                  <c:v>11</c:v>
                </c:pt>
              </c:numCache>
            </c:numRef>
          </c:val>
          <c:extLst>
            <c:ext xmlns:c16="http://schemas.microsoft.com/office/drawing/2014/chart" uri="{C3380CC4-5D6E-409C-BE32-E72D297353CC}">
              <c16:uniqueId val="{00000001-3640-4699-8B4F-58085C9A18CC}"/>
            </c:ext>
          </c:extLst>
        </c:ser>
        <c:ser>
          <c:idx val="2"/>
          <c:order val="2"/>
          <c:tx>
            <c:strRef>
              <c:f>Calculate!$A$21</c:f>
              <c:strCache>
                <c:ptCount val="1"/>
                <c:pt idx="0">
                  <c:v>Hull</c:v>
                </c:pt>
              </c:strCache>
            </c:strRef>
          </c:tx>
          <c:spPr>
            <a:pattFill prst="ltDnDiag">
              <a:fgClr>
                <a:schemeClr val="accent3"/>
              </a:fgClr>
              <a:bgClr>
                <a:schemeClr val="accent3">
                  <a:lumMod val="20000"/>
                  <a:lumOff val="80000"/>
                </a:schemeClr>
              </a:bgClr>
            </a:pattFill>
            <a:ln>
              <a:solidFill>
                <a:schemeClr val="accent3"/>
              </a:solidFill>
            </a:ln>
            <a:effectLst/>
            <a:sp3d>
              <a:contourClr>
                <a:schemeClr val="accent3"/>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Lit>
              <c:formatCode>General</c:formatCode>
              <c:ptCount val="9"/>
              <c:pt idx="0">
                <c:v>2010</c:v>
              </c:pt>
              <c:pt idx="1">
                <c:v>2011</c:v>
              </c:pt>
              <c:pt idx="2">
                <c:v>2012</c:v>
              </c:pt>
              <c:pt idx="3">
                <c:v>2013</c:v>
              </c:pt>
              <c:pt idx="4">
                <c:v>2014</c:v>
              </c:pt>
              <c:pt idx="5">
                <c:v>2015</c:v>
              </c:pt>
              <c:pt idx="6">
                <c:v>2016</c:v>
              </c:pt>
              <c:pt idx="7">
                <c:v>2017</c:v>
              </c:pt>
              <c:pt idx="8">
                <c:v>2018</c:v>
              </c:pt>
            </c:numLit>
          </c:cat>
          <c:val>
            <c:numRef>
              <c:f>Calculate!$C$21:$K$21</c:f>
              <c:numCache>
                <c:formatCode>General</c:formatCode>
                <c:ptCount val="9"/>
                <c:pt idx="0">
                  <c:v>5</c:v>
                </c:pt>
                <c:pt idx="1">
                  <c:v>8</c:v>
                </c:pt>
                <c:pt idx="2">
                  <c:v>7</c:v>
                </c:pt>
                <c:pt idx="3">
                  <c:v>1</c:v>
                </c:pt>
                <c:pt idx="4">
                  <c:v>0</c:v>
                </c:pt>
                <c:pt idx="5">
                  <c:v>0</c:v>
                </c:pt>
                <c:pt idx="6">
                  <c:v>2</c:v>
                </c:pt>
                <c:pt idx="7">
                  <c:v>4</c:v>
                </c:pt>
                <c:pt idx="8">
                  <c:v>0</c:v>
                </c:pt>
              </c:numCache>
            </c:numRef>
          </c:val>
          <c:extLst>
            <c:ext xmlns:c16="http://schemas.microsoft.com/office/drawing/2014/chart" uri="{C3380CC4-5D6E-409C-BE32-E72D297353CC}">
              <c16:uniqueId val="{00000002-3640-4699-8B4F-58085C9A18CC}"/>
            </c:ext>
          </c:extLst>
        </c:ser>
        <c:ser>
          <c:idx val="3"/>
          <c:order val="3"/>
          <c:tx>
            <c:strRef>
              <c:f>Calculate!$A$22</c:f>
              <c:strCache>
                <c:ptCount val="1"/>
                <c:pt idx="0">
                  <c:v>CPM</c:v>
                </c:pt>
              </c:strCache>
            </c:strRef>
          </c:tx>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Lit>
              <c:formatCode>General</c:formatCode>
              <c:ptCount val="9"/>
              <c:pt idx="0">
                <c:v>2010</c:v>
              </c:pt>
              <c:pt idx="1">
                <c:v>2011</c:v>
              </c:pt>
              <c:pt idx="2">
                <c:v>2012</c:v>
              </c:pt>
              <c:pt idx="3">
                <c:v>2013</c:v>
              </c:pt>
              <c:pt idx="4">
                <c:v>2014</c:v>
              </c:pt>
              <c:pt idx="5">
                <c:v>2015</c:v>
              </c:pt>
              <c:pt idx="6">
                <c:v>2016</c:v>
              </c:pt>
              <c:pt idx="7">
                <c:v>2017</c:v>
              </c:pt>
              <c:pt idx="8">
                <c:v>2018</c:v>
              </c:pt>
            </c:numLit>
          </c:cat>
          <c:val>
            <c:numRef>
              <c:f>Calculate!$C$22:$K$22</c:f>
              <c:numCache>
                <c:formatCode>General</c:formatCode>
                <c:ptCount val="9"/>
                <c:pt idx="0">
                  <c:v>0</c:v>
                </c:pt>
                <c:pt idx="1">
                  <c:v>0</c:v>
                </c:pt>
                <c:pt idx="2">
                  <c:v>0</c:v>
                </c:pt>
                <c:pt idx="3">
                  <c:v>0</c:v>
                </c:pt>
                <c:pt idx="4">
                  <c:v>1</c:v>
                </c:pt>
                <c:pt idx="5">
                  <c:v>38</c:v>
                </c:pt>
                <c:pt idx="6">
                  <c:v>54</c:v>
                </c:pt>
                <c:pt idx="7">
                  <c:v>1</c:v>
                </c:pt>
                <c:pt idx="8">
                  <c:v>0</c:v>
                </c:pt>
              </c:numCache>
            </c:numRef>
          </c:val>
          <c:extLst>
            <c:ext xmlns:c16="http://schemas.microsoft.com/office/drawing/2014/chart" uri="{C3380CC4-5D6E-409C-BE32-E72D297353CC}">
              <c16:uniqueId val="{00000003-3640-4699-8B4F-58085C9A18CC}"/>
            </c:ext>
          </c:extLst>
        </c:ser>
        <c:ser>
          <c:idx val="4"/>
          <c:order val="4"/>
          <c:tx>
            <c:strRef>
              <c:f>Calculate!$A$23</c:f>
              <c:strCache>
                <c:ptCount val="1"/>
                <c:pt idx="0">
                  <c:v>Casualty</c:v>
                </c:pt>
              </c:strCache>
            </c:strRef>
          </c:tx>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Lit>
              <c:formatCode>General</c:formatCode>
              <c:ptCount val="9"/>
              <c:pt idx="0">
                <c:v>2010</c:v>
              </c:pt>
              <c:pt idx="1">
                <c:v>2011</c:v>
              </c:pt>
              <c:pt idx="2">
                <c:v>2012</c:v>
              </c:pt>
              <c:pt idx="3">
                <c:v>2013</c:v>
              </c:pt>
              <c:pt idx="4">
                <c:v>2014</c:v>
              </c:pt>
              <c:pt idx="5">
                <c:v>2015</c:v>
              </c:pt>
              <c:pt idx="6">
                <c:v>2016</c:v>
              </c:pt>
              <c:pt idx="7">
                <c:v>2017</c:v>
              </c:pt>
              <c:pt idx="8">
                <c:v>2018</c:v>
              </c:pt>
            </c:numLit>
          </c:cat>
          <c:val>
            <c:numRef>
              <c:f>Calculate!$C$23:$K$23</c:f>
              <c:numCache>
                <c:formatCode>General</c:formatCode>
                <c:ptCount val="9"/>
                <c:pt idx="0">
                  <c:v>19</c:v>
                </c:pt>
                <c:pt idx="1">
                  <c:v>15</c:v>
                </c:pt>
                <c:pt idx="2">
                  <c:v>7</c:v>
                </c:pt>
                <c:pt idx="3">
                  <c:v>28</c:v>
                </c:pt>
                <c:pt idx="4">
                  <c:v>26</c:v>
                </c:pt>
                <c:pt idx="5">
                  <c:v>30</c:v>
                </c:pt>
                <c:pt idx="6">
                  <c:v>22</c:v>
                </c:pt>
                <c:pt idx="7">
                  <c:v>31</c:v>
                </c:pt>
                <c:pt idx="8">
                  <c:v>7</c:v>
                </c:pt>
              </c:numCache>
            </c:numRef>
          </c:val>
          <c:extLst>
            <c:ext xmlns:c16="http://schemas.microsoft.com/office/drawing/2014/chart" uri="{C3380CC4-5D6E-409C-BE32-E72D297353CC}">
              <c16:uniqueId val="{00000004-3640-4699-8B4F-58085C9A18CC}"/>
            </c:ext>
          </c:extLst>
        </c:ser>
        <c:ser>
          <c:idx val="5"/>
          <c:order val="5"/>
          <c:tx>
            <c:strRef>
              <c:f>Calculate!$A$24</c:f>
              <c:strCache>
                <c:ptCount val="1"/>
                <c:pt idx="0">
                  <c:v>Engineering</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Lit>
              <c:formatCode>General</c:formatCode>
              <c:ptCount val="9"/>
              <c:pt idx="0">
                <c:v>2010</c:v>
              </c:pt>
              <c:pt idx="1">
                <c:v>2011</c:v>
              </c:pt>
              <c:pt idx="2">
                <c:v>2012</c:v>
              </c:pt>
              <c:pt idx="3">
                <c:v>2013</c:v>
              </c:pt>
              <c:pt idx="4">
                <c:v>2014</c:v>
              </c:pt>
              <c:pt idx="5">
                <c:v>2015</c:v>
              </c:pt>
              <c:pt idx="6">
                <c:v>2016</c:v>
              </c:pt>
              <c:pt idx="7">
                <c:v>2017</c:v>
              </c:pt>
              <c:pt idx="8">
                <c:v>2018</c:v>
              </c:pt>
            </c:numLit>
          </c:cat>
          <c:val>
            <c:numRef>
              <c:f>Calculate!$C$24:$K$24</c:f>
              <c:numCache>
                <c:formatCode>General</c:formatCode>
                <c:ptCount val="9"/>
                <c:pt idx="0">
                  <c:v>2</c:v>
                </c:pt>
                <c:pt idx="1">
                  <c:v>9</c:v>
                </c:pt>
                <c:pt idx="2">
                  <c:v>6</c:v>
                </c:pt>
                <c:pt idx="3">
                  <c:v>16</c:v>
                </c:pt>
                <c:pt idx="4">
                  <c:v>7</c:v>
                </c:pt>
                <c:pt idx="5">
                  <c:v>36</c:v>
                </c:pt>
                <c:pt idx="6">
                  <c:v>41</c:v>
                </c:pt>
                <c:pt idx="7">
                  <c:v>25</c:v>
                </c:pt>
                <c:pt idx="8">
                  <c:v>8</c:v>
                </c:pt>
              </c:numCache>
            </c:numRef>
          </c:val>
          <c:extLst>
            <c:ext xmlns:c16="http://schemas.microsoft.com/office/drawing/2014/chart" uri="{C3380CC4-5D6E-409C-BE32-E72D297353CC}">
              <c16:uniqueId val="{00000005-3640-4699-8B4F-58085C9A18CC}"/>
            </c:ext>
          </c:extLst>
        </c:ser>
        <c:dLbls>
          <c:showLegendKey val="0"/>
          <c:showVal val="1"/>
          <c:showCatName val="0"/>
          <c:showSerName val="0"/>
          <c:showPercent val="0"/>
          <c:showBubbleSize val="0"/>
        </c:dLbls>
        <c:gapWidth val="150"/>
        <c:shape val="box"/>
        <c:axId val="517472728"/>
        <c:axId val="1"/>
        <c:axId val="0"/>
      </c:bar3DChart>
      <c:catAx>
        <c:axId val="5174727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Tahun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a:solidFill>
                <a:schemeClr val="tx1">
                  <a:lumMod val="15000"/>
                  <a:lumOff val="85000"/>
                </a:schemeClr>
              </a:solidFill>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Jumlah</a:t>
                </a:r>
                <a:r>
                  <a:rPr lang="en-US" baseline="0"/>
                  <a:t> Klaim</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472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Calculate!$T$32</c:f>
              <c:strCache>
                <c:ptCount val="1"/>
                <c:pt idx="0">
                  <c:v>Settled</c:v>
                </c:pt>
              </c:strCache>
            </c:strRef>
          </c:tx>
          <c:spPr>
            <a:solidFill>
              <a:schemeClr val="accent6">
                <a:lumMod val="60000"/>
                <a:lumOff val="40000"/>
              </a:schemeClr>
            </a:solid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Lit>
              <c:formatCode>General</c:formatCode>
              <c:ptCount val="9"/>
              <c:pt idx="0">
                <c:v>2010</c:v>
              </c:pt>
              <c:pt idx="1">
                <c:v>2011</c:v>
              </c:pt>
              <c:pt idx="2">
                <c:v>2012</c:v>
              </c:pt>
              <c:pt idx="3">
                <c:v>2013</c:v>
              </c:pt>
              <c:pt idx="4">
                <c:v>2014</c:v>
              </c:pt>
              <c:pt idx="5">
                <c:v>2015</c:v>
              </c:pt>
              <c:pt idx="6">
                <c:v>2016</c:v>
              </c:pt>
              <c:pt idx="7">
                <c:v>2017</c:v>
              </c:pt>
              <c:pt idx="8">
                <c:v>2018</c:v>
              </c:pt>
            </c:numLit>
          </c:cat>
          <c:val>
            <c:numRef>
              <c:f>Calculate!$V$32:$AD$32</c:f>
              <c:numCache>
                <c:formatCode>General</c:formatCode>
                <c:ptCount val="9"/>
                <c:pt idx="0">
                  <c:v>193</c:v>
                </c:pt>
                <c:pt idx="1">
                  <c:v>138</c:v>
                </c:pt>
                <c:pt idx="2">
                  <c:v>152</c:v>
                </c:pt>
                <c:pt idx="3">
                  <c:v>209</c:v>
                </c:pt>
                <c:pt idx="4">
                  <c:v>187</c:v>
                </c:pt>
                <c:pt idx="5">
                  <c:v>195</c:v>
                </c:pt>
                <c:pt idx="6">
                  <c:v>255</c:v>
                </c:pt>
                <c:pt idx="7">
                  <c:v>159</c:v>
                </c:pt>
                <c:pt idx="8">
                  <c:v>13</c:v>
                </c:pt>
              </c:numCache>
            </c:numRef>
          </c:val>
          <c:extLst>
            <c:ext xmlns:c16="http://schemas.microsoft.com/office/drawing/2014/chart" uri="{C3380CC4-5D6E-409C-BE32-E72D297353CC}">
              <c16:uniqueId val="{00000000-4DD4-4ED0-B02C-95E7D4BF5401}"/>
            </c:ext>
          </c:extLst>
        </c:ser>
        <c:ser>
          <c:idx val="1"/>
          <c:order val="1"/>
          <c:tx>
            <c:strRef>
              <c:f>Calculate!$T$33</c:f>
              <c:strCache>
                <c:ptCount val="1"/>
                <c:pt idx="0">
                  <c:v>Outstanding</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Lit>
              <c:formatCode>General</c:formatCode>
              <c:ptCount val="9"/>
              <c:pt idx="0">
                <c:v>2010</c:v>
              </c:pt>
              <c:pt idx="1">
                <c:v>2011</c:v>
              </c:pt>
              <c:pt idx="2">
                <c:v>2012</c:v>
              </c:pt>
              <c:pt idx="3">
                <c:v>2013</c:v>
              </c:pt>
              <c:pt idx="4">
                <c:v>2014</c:v>
              </c:pt>
              <c:pt idx="5">
                <c:v>2015</c:v>
              </c:pt>
              <c:pt idx="6">
                <c:v>2016</c:v>
              </c:pt>
              <c:pt idx="7">
                <c:v>2017</c:v>
              </c:pt>
              <c:pt idx="8">
                <c:v>2018</c:v>
              </c:pt>
            </c:numLit>
          </c:cat>
          <c:val>
            <c:numRef>
              <c:f>Calculate!$V$33:$AD$33</c:f>
              <c:numCache>
                <c:formatCode>General</c:formatCode>
                <c:ptCount val="9"/>
                <c:pt idx="0">
                  <c:v>2</c:v>
                </c:pt>
                <c:pt idx="1">
                  <c:v>7</c:v>
                </c:pt>
                <c:pt idx="2">
                  <c:v>11</c:v>
                </c:pt>
                <c:pt idx="3">
                  <c:v>6</c:v>
                </c:pt>
                <c:pt idx="4">
                  <c:v>2</c:v>
                </c:pt>
                <c:pt idx="5">
                  <c:v>44</c:v>
                </c:pt>
                <c:pt idx="6">
                  <c:v>69</c:v>
                </c:pt>
                <c:pt idx="7">
                  <c:v>56</c:v>
                </c:pt>
                <c:pt idx="8">
                  <c:v>48</c:v>
                </c:pt>
              </c:numCache>
            </c:numRef>
          </c:val>
          <c:extLst>
            <c:ext xmlns:c16="http://schemas.microsoft.com/office/drawing/2014/chart" uri="{C3380CC4-5D6E-409C-BE32-E72D297353CC}">
              <c16:uniqueId val="{00000001-4DD4-4ED0-B02C-95E7D4BF5401}"/>
            </c:ext>
          </c:extLst>
        </c:ser>
        <c:dLbls>
          <c:showLegendKey val="0"/>
          <c:showVal val="1"/>
          <c:showCatName val="0"/>
          <c:showSerName val="0"/>
          <c:showPercent val="0"/>
          <c:showBubbleSize val="0"/>
        </c:dLbls>
        <c:gapWidth val="150"/>
        <c:overlap val="100"/>
        <c:axId val="517472728"/>
        <c:axId val="1"/>
      </c:barChart>
      <c:catAx>
        <c:axId val="5174727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Tahun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a:solidFill>
                <a:schemeClr val="tx1">
                  <a:lumMod val="15000"/>
                  <a:lumOff val="85000"/>
                </a:schemeClr>
              </a:solidFill>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Jumlah Klaim</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472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Calculate!$A$30</c:f>
              <c:strCache>
                <c:ptCount val="1"/>
                <c:pt idx="0">
                  <c:v>Fire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Lit>
              <c:formatCode>General</c:formatCode>
              <c:ptCount val="9"/>
              <c:pt idx="0">
                <c:v>2010</c:v>
              </c:pt>
              <c:pt idx="1">
                <c:v>2011</c:v>
              </c:pt>
              <c:pt idx="2">
                <c:v>2012</c:v>
              </c:pt>
              <c:pt idx="3">
                <c:v>2013</c:v>
              </c:pt>
              <c:pt idx="4">
                <c:v>2014</c:v>
              </c:pt>
              <c:pt idx="5">
                <c:v>2015</c:v>
              </c:pt>
              <c:pt idx="6">
                <c:v>2016</c:v>
              </c:pt>
              <c:pt idx="7">
                <c:v>2017</c:v>
              </c:pt>
              <c:pt idx="8">
                <c:v>2018</c:v>
              </c:pt>
            </c:numLit>
          </c:cat>
          <c:val>
            <c:numRef>
              <c:f>Calculate!$C$30:$K$30</c:f>
              <c:numCache>
                <c:formatCode>General</c:formatCode>
                <c:ptCount val="9"/>
                <c:pt idx="0">
                  <c:v>1</c:v>
                </c:pt>
                <c:pt idx="1">
                  <c:v>0</c:v>
                </c:pt>
                <c:pt idx="2">
                  <c:v>6</c:v>
                </c:pt>
                <c:pt idx="3">
                  <c:v>3</c:v>
                </c:pt>
                <c:pt idx="4">
                  <c:v>2</c:v>
                </c:pt>
                <c:pt idx="5">
                  <c:v>1</c:v>
                </c:pt>
                <c:pt idx="6">
                  <c:v>17</c:v>
                </c:pt>
                <c:pt idx="7">
                  <c:v>32</c:v>
                </c:pt>
                <c:pt idx="8">
                  <c:v>31</c:v>
                </c:pt>
              </c:numCache>
            </c:numRef>
          </c:val>
          <c:extLst>
            <c:ext xmlns:c16="http://schemas.microsoft.com/office/drawing/2014/chart" uri="{C3380CC4-5D6E-409C-BE32-E72D297353CC}">
              <c16:uniqueId val="{00000000-0AE4-4851-A05D-AABB8D47A061}"/>
            </c:ext>
          </c:extLst>
        </c:ser>
        <c:ser>
          <c:idx val="1"/>
          <c:order val="1"/>
          <c:tx>
            <c:strRef>
              <c:f>Calculate!$A$31</c:f>
              <c:strCache>
                <c:ptCount val="1"/>
                <c:pt idx="0">
                  <c:v>Cargo</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Lit>
              <c:formatCode>General</c:formatCode>
              <c:ptCount val="9"/>
              <c:pt idx="0">
                <c:v>2010</c:v>
              </c:pt>
              <c:pt idx="1">
                <c:v>2011</c:v>
              </c:pt>
              <c:pt idx="2">
                <c:v>2012</c:v>
              </c:pt>
              <c:pt idx="3">
                <c:v>2013</c:v>
              </c:pt>
              <c:pt idx="4">
                <c:v>2014</c:v>
              </c:pt>
              <c:pt idx="5">
                <c:v>2015</c:v>
              </c:pt>
              <c:pt idx="6">
                <c:v>2016</c:v>
              </c:pt>
              <c:pt idx="7">
                <c:v>2017</c:v>
              </c:pt>
              <c:pt idx="8">
                <c:v>2018</c:v>
              </c:pt>
            </c:numLit>
          </c:cat>
          <c:val>
            <c:numRef>
              <c:f>Calculate!$C$31:$K$31</c:f>
              <c:numCache>
                <c:formatCode>General</c:formatCode>
                <c:ptCount val="9"/>
                <c:pt idx="0">
                  <c:v>0</c:v>
                </c:pt>
                <c:pt idx="1">
                  <c:v>5</c:v>
                </c:pt>
                <c:pt idx="2">
                  <c:v>4</c:v>
                </c:pt>
                <c:pt idx="3">
                  <c:v>1</c:v>
                </c:pt>
                <c:pt idx="4">
                  <c:v>0</c:v>
                </c:pt>
                <c:pt idx="5">
                  <c:v>0</c:v>
                </c:pt>
                <c:pt idx="6">
                  <c:v>5</c:v>
                </c:pt>
                <c:pt idx="7">
                  <c:v>3</c:v>
                </c:pt>
                <c:pt idx="8">
                  <c:v>9</c:v>
                </c:pt>
              </c:numCache>
            </c:numRef>
          </c:val>
          <c:extLst>
            <c:ext xmlns:c16="http://schemas.microsoft.com/office/drawing/2014/chart" uri="{C3380CC4-5D6E-409C-BE32-E72D297353CC}">
              <c16:uniqueId val="{00000001-0AE4-4851-A05D-AABB8D47A061}"/>
            </c:ext>
          </c:extLst>
        </c:ser>
        <c:ser>
          <c:idx val="2"/>
          <c:order val="2"/>
          <c:tx>
            <c:strRef>
              <c:f>Calculate!$A$32</c:f>
              <c:strCache>
                <c:ptCount val="1"/>
                <c:pt idx="0">
                  <c:v>Hull</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Lit>
              <c:formatCode>General</c:formatCode>
              <c:ptCount val="9"/>
              <c:pt idx="0">
                <c:v>2010</c:v>
              </c:pt>
              <c:pt idx="1">
                <c:v>2011</c:v>
              </c:pt>
              <c:pt idx="2">
                <c:v>2012</c:v>
              </c:pt>
              <c:pt idx="3">
                <c:v>2013</c:v>
              </c:pt>
              <c:pt idx="4">
                <c:v>2014</c:v>
              </c:pt>
              <c:pt idx="5">
                <c:v>2015</c:v>
              </c:pt>
              <c:pt idx="6">
                <c:v>2016</c:v>
              </c:pt>
              <c:pt idx="7">
                <c:v>2017</c:v>
              </c:pt>
              <c:pt idx="8">
                <c:v>2018</c:v>
              </c:pt>
            </c:numLit>
          </c:cat>
          <c:val>
            <c:numRef>
              <c:f>Calculate!$C$32:$K$32</c:f>
              <c:numCache>
                <c:formatCode>General</c:formatCode>
                <c:ptCount val="9"/>
                <c:pt idx="0">
                  <c:v>1</c:v>
                </c:pt>
                <c:pt idx="1">
                  <c:v>2</c:v>
                </c:pt>
                <c:pt idx="2">
                  <c:v>1</c:v>
                </c:pt>
                <c:pt idx="3">
                  <c:v>0</c:v>
                </c:pt>
                <c:pt idx="4">
                  <c:v>0</c:v>
                </c:pt>
                <c:pt idx="5">
                  <c:v>0</c:v>
                </c:pt>
                <c:pt idx="6">
                  <c:v>0</c:v>
                </c:pt>
                <c:pt idx="7">
                  <c:v>2</c:v>
                </c:pt>
                <c:pt idx="8">
                  <c:v>0</c:v>
                </c:pt>
              </c:numCache>
            </c:numRef>
          </c:val>
          <c:extLst>
            <c:ext xmlns:c16="http://schemas.microsoft.com/office/drawing/2014/chart" uri="{C3380CC4-5D6E-409C-BE32-E72D297353CC}">
              <c16:uniqueId val="{00000002-0AE4-4851-A05D-AABB8D47A061}"/>
            </c:ext>
          </c:extLst>
        </c:ser>
        <c:ser>
          <c:idx val="3"/>
          <c:order val="3"/>
          <c:tx>
            <c:strRef>
              <c:f>Calculate!$A$33</c:f>
              <c:strCache>
                <c:ptCount val="1"/>
                <c:pt idx="0">
                  <c:v>CPM</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Lit>
              <c:formatCode>General</c:formatCode>
              <c:ptCount val="9"/>
              <c:pt idx="0">
                <c:v>2010</c:v>
              </c:pt>
              <c:pt idx="1">
                <c:v>2011</c:v>
              </c:pt>
              <c:pt idx="2">
                <c:v>2012</c:v>
              </c:pt>
              <c:pt idx="3">
                <c:v>2013</c:v>
              </c:pt>
              <c:pt idx="4">
                <c:v>2014</c:v>
              </c:pt>
              <c:pt idx="5">
                <c:v>2015</c:v>
              </c:pt>
              <c:pt idx="6">
                <c:v>2016</c:v>
              </c:pt>
              <c:pt idx="7">
                <c:v>2017</c:v>
              </c:pt>
              <c:pt idx="8">
                <c:v>2018</c:v>
              </c:pt>
            </c:numLit>
          </c:cat>
          <c:val>
            <c:numRef>
              <c:f>Calculate!$C$33:$K$33</c:f>
              <c:numCache>
                <c:formatCode>General</c:formatCode>
                <c:ptCount val="9"/>
                <c:pt idx="0">
                  <c:v>0</c:v>
                </c:pt>
                <c:pt idx="1">
                  <c:v>0</c:v>
                </c:pt>
                <c:pt idx="2">
                  <c:v>0</c:v>
                </c:pt>
                <c:pt idx="3">
                  <c:v>0</c:v>
                </c:pt>
                <c:pt idx="4">
                  <c:v>0</c:v>
                </c:pt>
                <c:pt idx="5">
                  <c:v>30</c:v>
                </c:pt>
                <c:pt idx="6">
                  <c:v>35</c:v>
                </c:pt>
                <c:pt idx="7">
                  <c:v>0</c:v>
                </c:pt>
                <c:pt idx="8">
                  <c:v>0</c:v>
                </c:pt>
              </c:numCache>
            </c:numRef>
          </c:val>
          <c:extLst>
            <c:ext xmlns:c16="http://schemas.microsoft.com/office/drawing/2014/chart" uri="{C3380CC4-5D6E-409C-BE32-E72D297353CC}">
              <c16:uniqueId val="{00000003-0AE4-4851-A05D-AABB8D47A061}"/>
            </c:ext>
          </c:extLst>
        </c:ser>
        <c:ser>
          <c:idx val="4"/>
          <c:order val="4"/>
          <c:tx>
            <c:strRef>
              <c:f>Calculate!$A$34</c:f>
              <c:strCache>
                <c:ptCount val="1"/>
                <c:pt idx="0">
                  <c:v>Casualty</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Lit>
              <c:formatCode>General</c:formatCode>
              <c:ptCount val="9"/>
              <c:pt idx="0">
                <c:v>2010</c:v>
              </c:pt>
              <c:pt idx="1">
                <c:v>2011</c:v>
              </c:pt>
              <c:pt idx="2">
                <c:v>2012</c:v>
              </c:pt>
              <c:pt idx="3">
                <c:v>2013</c:v>
              </c:pt>
              <c:pt idx="4">
                <c:v>2014</c:v>
              </c:pt>
              <c:pt idx="5">
                <c:v>2015</c:v>
              </c:pt>
              <c:pt idx="6">
                <c:v>2016</c:v>
              </c:pt>
              <c:pt idx="7">
                <c:v>2017</c:v>
              </c:pt>
              <c:pt idx="8">
                <c:v>2018</c:v>
              </c:pt>
            </c:numLit>
          </c:cat>
          <c:val>
            <c:numRef>
              <c:f>Calculate!$C$34:$K$34</c:f>
              <c:numCache>
                <c:formatCode>General</c:formatCode>
                <c:ptCount val="9"/>
                <c:pt idx="0">
                  <c:v>0</c:v>
                </c:pt>
                <c:pt idx="1">
                  <c:v>0</c:v>
                </c:pt>
                <c:pt idx="2">
                  <c:v>0</c:v>
                </c:pt>
                <c:pt idx="3">
                  <c:v>0</c:v>
                </c:pt>
                <c:pt idx="4">
                  <c:v>0</c:v>
                </c:pt>
                <c:pt idx="5">
                  <c:v>0</c:v>
                </c:pt>
                <c:pt idx="6">
                  <c:v>1</c:v>
                </c:pt>
                <c:pt idx="7">
                  <c:v>4</c:v>
                </c:pt>
                <c:pt idx="8">
                  <c:v>3</c:v>
                </c:pt>
              </c:numCache>
            </c:numRef>
          </c:val>
          <c:extLst>
            <c:ext xmlns:c16="http://schemas.microsoft.com/office/drawing/2014/chart" uri="{C3380CC4-5D6E-409C-BE32-E72D297353CC}">
              <c16:uniqueId val="{00000004-0AE4-4851-A05D-AABB8D47A061}"/>
            </c:ext>
          </c:extLst>
        </c:ser>
        <c:ser>
          <c:idx val="5"/>
          <c:order val="5"/>
          <c:tx>
            <c:strRef>
              <c:f>Calculate!$A$35</c:f>
              <c:strCache>
                <c:ptCount val="1"/>
                <c:pt idx="0">
                  <c:v>Engineering</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Lit>
              <c:formatCode>General</c:formatCode>
              <c:ptCount val="9"/>
              <c:pt idx="0">
                <c:v>2010</c:v>
              </c:pt>
              <c:pt idx="1">
                <c:v>2011</c:v>
              </c:pt>
              <c:pt idx="2">
                <c:v>2012</c:v>
              </c:pt>
              <c:pt idx="3">
                <c:v>2013</c:v>
              </c:pt>
              <c:pt idx="4">
                <c:v>2014</c:v>
              </c:pt>
              <c:pt idx="5">
                <c:v>2015</c:v>
              </c:pt>
              <c:pt idx="6">
                <c:v>2016</c:v>
              </c:pt>
              <c:pt idx="7">
                <c:v>2017</c:v>
              </c:pt>
              <c:pt idx="8">
                <c:v>2018</c:v>
              </c:pt>
            </c:numLit>
          </c:cat>
          <c:val>
            <c:numRef>
              <c:f>Calculate!$C$35:$K$35</c:f>
              <c:numCache>
                <c:formatCode>General</c:formatCode>
                <c:ptCount val="9"/>
                <c:pt idx="0">
                  <c:v>0</c:v>
                </c:pt>
                <c:pt idx="1">
                  <c:v>0</c:v>
                </c:pt>
                <c:pt idx="2">
                  <c:v>0</c:v>
                </c:pt>
                <c:pt idx="3">
                  <c:v>2</c:v>
                </c:pt>
                <c:pt idx="4">
                  <c:v>0</c:v>
                </c:pt>
                <c:pt idx="5">
                  <c:v>13</c:v>
                </c:pt>
                <c:pt idx="6">
                  <c:v>11</c:v>
                </c:pt>
                <c:pt idx="7">
                  <c:v>15</c:v>
                </c:pt>
                <c:pt idx="8">
                  <c:v>5</c:v>
                </c:pt>
              </c:numCache>
            </c:numRef>
          </c:val>
          <c:extLst>
            <c:ext xmlns:c16="http://schemas.microsoft.com/office/drawing/2014/chart" uri="{C3380CC4-5D6E-409C-BE32-E72D297353CC}">
              <c16:uniqueId val="{00000005-0AE4-4851-A05D-AABB8D47A061}"/>
            </c:ext>
          </c:extLst>
        </c:ser>
        <c:dLbls>
          <c:showLegendKey val="0"/>
          <c:showVal val="1"/>
          <c:showCatName val="0"/>
          <c:showSerName val="0"/>
          <c:showPercent val="0"/>
          <c:showBubbleSize val="0"/>
        </c:dLbls>
        <c:gapWidth val="150"/>
        <c:shape val="box"/>
        <c:axId val="517472728"/>
        <c:axId val="1"/>
        <c:axId val="0"/>
      </c:bar3DChart>
      <c:catAx>
        <c:axId val="51747272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Tahun</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Jumlah Klaim</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472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Calculate!$A$40</c:f>
              <c:strCache>
                <c:ptCount val="1"/>
                <c:pt idx="0">
                  <c:v>Fire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numRef>
              <c:f>Calculate!$C$39:$E$39</c:f>
              <c:numCache>
                <c:formatCode>General</c:formatCode>
                <c:ptCount val="3"/>
                <c:pt idx="0">
                  <c:v>2016</c:v>
                </c:pt>
                <c:pt idx="1">
                  <c:v>2017</c:v>
                </c:pt>
                <c:pt idx="2">
                  <c:v>2018</c:v>
                </c:pt>
              </c:numCache>
            </c:numRef>
          </c:cat>
          <c:val>
            <c:numRef>
              <c:f>Calculate!$C$40:$E$40</c:f>
              <c:numCache>
                <c:formatCode>General</c:formatCode>
                <c:ptCount val="3"/>
                <c:pt idx="0">
                  <c:v>136</c:v>
                </c:pt>
                <c:pt idx="1">
                  <c:v>171</c:v>
                </c:pt>
                <c:pt idx="2">
                  <c:v>38</c:v>
                </c:pt>
              </c:numCache>
            </c:numRef>
          </c:val>
          <c:extLst>
            <c:ext xmlns:c16="http://schemas.microsoft.com/office/drawing/2014/chart" uri="{C3380CC4-5D6E-409C-BE32-E72D297353CC}">
              <c16:uniqueId val="{00000000-CC2E-43BF-B461-FFFADE41288E}"/>
            </c:ext>
          </c:extLst>
        </c:ser>
        <c:ser>
          <c:idx val="1"/>
          <c:order val="1"/>
          <c:tx>
            <c:strRef>
              <c:f>Calculate!$A$41</c:f>
              <c:strCache>
                <c:ptCount val="1"/>
                <c:pt idx="0">
                  <c:v>Cargo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numRef>
              <c:f>Calculate!$C$39:$E$39</c:f>
              <c:numCache>
                <c:formatCode>General</c:formatCode>
                <c:ptCount val="3"/>
                <c:pt idx="0">
                  <c:v>2016</c:v>
                </c:pt>
                <c:pt idx="1">
                  <c:v>2017</c:v>
                </c:pt>
                <c:pt idx="2">
                  <c:v>2018</c:v>
                </c:pt>
              </c:numCache>
            </c:numRef>
          </c:cat>
          <c:val>
            <c:numRef>
              <c:f>Calculate!$C$41:$E$41</c:f>
              <c:numCache>
                <c:formatCode>General</c:formatCode>
                <c:ptCount val="3"/>
                <c:pt idx="0">
                  <c:v>43</c:v>
                </c:pt>
                <c:pt idx="1">
                  <c:v>48</c:v>
                </c:pt>
                <c:pt idx="2">
                  <c:v>3</c:v>
                </c:pt>
              </c:numCache>
            </c:numRef>
          </c:val>
          <c:extLst>
            <c:ext xmlns:c16="http://schemas.microsoft.com/office/drawing/2014/chart" uri="{C3380CC4-5D6E-409C-BE32-E72D297353CC}">
              <c16:uniqueId val="{00000001-CC2E-43BF-B461-FFFADE41288E}"/>
            </c:ext>
          </c:extLst>
        </c:ser>
        <c:ser>
          <c:idx val="2"/>
          <c:order val="2"/>
          <c:tx>
            <c:strRef>
              <c:f>Calculate!$A$42</c:f>
              <c:strCache>
                <c:ptCount val="1"/>
                <c:pt idx="0">
                  <c:v>Hull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numRef>
              <c:f>Calculate!$C$39:$E$39</c:f>
              <c:numCache>
                <c:formatCode>General</c:formatCode>
                <c:ptCount val="3"/>
                <c:pt idx="0">
                  <c:v>2016</c:v>
                </c:pt>
                <c:pt idx="1">
                  <c:v>2017</c:v>
                </c:pt>
                <c:pt idx="2">
                  <c:v>2018</c:v>
                </c:pt>
              </c:numCache>
            </c:numRef>
          </c:cat>
          <c:val>
            <c:numRef>
              <c:f>Calculate!$C$42:$E$42</c:f>
              <c:numCache>
                <c:formatCode>General</c:formatCode>
                <c:ptCount val="3"/>
                <c:pt idx="0">
                  <c:v>0</c:v>
                </c:pt>
                <c:pt idx="1">
                  <c:v>4</c:v>
                </c:pt>
                <c:pt idx="2">
                  <c:v>2</c:v>
                </c:pt>
              </c:numCache>
            </c:numRef>
          </c:val>
          <c:extLst>
            <c:ext xmlns:c16="http://schemas.microsoft.com/office/drawing/2014/chart" uri="{C3380CC4-5D6E-409C-BE32-E72D297353CC}">
              <c16:uniqueId val="{00000002-CC2E-43BF-B461-FFFADE41288E}"/>
            </c:ext>
          </c:extLst>
        </c:ser>
        <c:ser>
          <c:idx val="3"/>
          <c:order val="3"/>
          <c:tx>
            <c:strRef>
              <c:f>Calculate!$A$43</c:f>
              <c:strCache>
                <c:ptCount val="1"/>
                <c:pt idx="0">
                  <c:v>CPM</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numRef>
              <c:f>Calculate!$C$39:$E$39</c:f>
              <c:numCache>
                <c:formatCode>General</c:formatCode>
                <c:ptCount val="3"/>
                <c:pt idx="0">
                  <c:v>2016</c:v>
                </c:pt>
                <c:pt idx="1">
                  <c:v>2017</c:v>
                </c:pt>
                <c:pt idx="2">
                  <c:v>2018</c:v>
                </c:pt>
              </c:numCache>
            </c:numRef>
          </c:cat>
          <c:val>
            <c:numRef>
              <c:f>Calculate!$C$43:$E$43</c:f>
              <c:numCache>
                <c:formatCode>General</c:formatCode>
                <c:ptCount val="3"/>
                <c:pt idx="0">
                  <c:v>8</c:v>
                </c:pt>
                <c:pt idx="1">
                  <c:v>13</c:v>
                </c:pt>
                <c:pt idx="2">
                  <c:v>4</c:v>
                </c:pt>
              </c:numCache>
            </c:numRef>
          </c:val>
          <c:extLst>
            <c:ext xmlns:c16="http://schemas.microsoft.com/office/drawing/2014/chart" uri="{C3380CC4-5D6E-409C-BE32-E72D297353CC}">
              <c16:uniqueId val="{00000003-CC2E-43BF-B461-FFFADE41288E}"/>
            </c:ext>
          </c:extLst>
        </c:ser>
        <c:ser>
          <c:idx val="4"/>
          <c:order val="4"/>
          <c:tx>
            <c:strRef>
              <c:f>Calculate!$A$44</c:f>
              <c:strCache>
                <c:ptCount val="1"/>
                <c:pt idx="0">
                  <c:v>Casualty</c:v>
                </c:pt>
              </c:strCache>
            </c:strRef>
          </c:tx>
          <c:spPr>
            <a:solidFill>
              <a:srgbClr val="7030A0"/>
            </a:solidFill>
            <a:ln>
              <a:noFill/>
            </a:ln>
            <a:effectLst>
              <a:outerShdw blurRad="57150" dist="19050" dir="5400000" algn="ctr" rotWithShape="0">
                <a:srgbClr val="000000">
                  <a:alpha val="63000"/>
                </a:srgbClr>
              </a:outerShdw>
            </a:effectLst>
            <a:sp3d/>
          </c:spPr>
          <c:invertIfNegative val="0"/>
          <c:cat>
            <c:numRef>
              <c:f>Calculate!$C$39:$E$39</c:f>
              <c:numCache>
                <c:formatCode>General</c:formatCode>
                <c:ptCount val="3"/>
                <c:pt idx="0">
                  <c:v>2016</c:v>
                </c:pt>
                <c:pt idx="1">
                  <c:v>2017</c:v>
                </c:pt>
                <c:pt idx="2">
                  <c:v>2018</c:v>
                </c:pt>
              </c:numCache>
            </c:numRef>
          </c:cat>
          <c:val>
            <c:numRef>
              <c:f>Calculate!$C$44:$E$44</c:f>
              <c:numCache>
                <c:formatCode>General</c:formatCode>
                <c:ptCount val="3"/>
                <c:pt idx="0">
                  <c:v>30</c:v>
                </c:pt>
                <c:pt idx="1">
                  <c:v>31</c:v>
                </c:pt>
                <c:pt idx="2">
                  <c:v>7</c:v>
                </c:pt>
              </c:numCache>
            </c:numRef>
          </c:val>
          <c:extLst>
            <c:ext xmlns:c16="http://schemas.microsoft.com/office/drawing/2014/chart" uri="{C3380CC4-5D6E-409C-BE32-E72D297353CC}">
              <c16:uniqueId val="{00000004-CC2E-43BF-B461-FFFADE41288E}"/>
            </c:ext>
          </c:extLst>
        </c:ser>
        <c:ser>
          <c:idx val="5"/>
          <c:order val="5"/>
          <c:tx>
            <c:strRef>
              <c:f>Calculate!$A$45</c:f>
              <c:strCache>
                <c:ptCount val="1"/>
                <c:pt idx="0">
                  <c:v>Engineering</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numRef>
              <c:f>Calculate!$C$39:$E$39</c:f>
              <c:numCache>
                <c:formatCode>General</c:formatCode>
                <c:ptCount val="3"/>
                <c:pt idx="0">
                  <c:v>2016</c:v>
                </c:pt>
                <c:pt idx="1">
                  <c:v>2017</c:v>
                </c:pt>
                <c:pt idx="2">
                  <c:v>2018</c:v>
                </c:pt>
              </c:numCache>
            </c:numRef>
          </c:cat>
          <c:val>
            <c:numRef>
              <c:f>Calculate!$C$45:$E$45</c:f>
              <c:numCache>
                <c:formatCode>General</c:formatCode>
                <c:ptCount val="3"/>
                <c:pt idx="0">
                  <c:v>18</c:v>
                </c:pt>
                <c:pt idx="1">
                  <c:v>46</c:v>
                </c:pt>
                <c:pt idx="2">
                  <c:v>13</c:v>
                </c:pt>
              </c:numCache>
            </c:numRef>
          </c:val>
          <c:extLst>
            <c:ext xmlns:c16="http://schemas.microsoft.com/office/drawing/2014/chart" uri="{C3380CC4-5D6E-409C-BE32-E72D297353CC}">
              <c16:uniqueId val="{00000005-CC2E-43BF-B461-FFFADE41288E}"/>
            </c:ext>
          </c:extLst>
        </c:ser>
        <c:dLbls>
          <c:showLegendKey val="0"/>
          <c:showVal val="0"/>
          <c:showCatName val="0"/>
          <c:showSerName val="0"/>
          <c:showPercent val="0"/>
          <c:showBubbleSize val="0"/>
        </c:dLbls>
        <c:gapWidth val="150"/>
        <c:shape val="box"/>
        <c:axId val="396929392"/>
        <c:axId val="1"/>
        <c:axId val="0"/>
      </c:bar3DChart>
      <c:catAx>
        <c:axId val="396929392"/>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Tahun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Jumlah</a:t>
                </a:r>
                <a:r>
                  <a:rPr lang="en-US" baseline="0"/>
                  <a:t> Klaim</a:t>
                </a:r>
                <a:endParaRPr lang="en-US"/>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929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stacked"/>
        <c:varyColors val="0"/>
        <c:ser>
          <c:idx val="0"/>
          <c:order val="0"/>
          <c:tx>
            <c:strRef>
              <c:f>Calculate!$A$67</c:f>
              <c:strCache>
                <c:ptCount val="1"/>
                <c:pt idx="0">
                  <c:v>Fire</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Lit>
              <c:formatCode>General</c:formatCode>
              <c:ptCount val="9"/>
              <c:pt idx="0">
                <c:v>2010</c:v>
              </c:pt>
              <c:pt idx="1">
                <c:v>2011</c:v>
              </c:pt>
              <c:pt idx="2">
                <c:v>2012</c:v>
              </c:pt>
              <c:pt idx="3">
                <c:v>2013</c:v>
              </c:pt>
              <c:pt idx="4">
                <c:v>2014</c:v>
              </c:pt>
              <c:pt idx="5">
                <c:v>2015</c:v>
              </c:pt>
              <c:pt idx="6">
                <c:v>2016</c:v>
              </c:pt>
              <c:pt idx="7">
                <c:v>2017</c:v>
              </c:pt>
              <c:pt idx="8">
                <c:v>2018</c:v>
              </c:pt>
            </c:numLit>
          </c:cat>
          <c:val>
            <c:numRef>
              <c:f>Calculate!$C$67:$K$67</c:f>
              <c:numCache>
                <c:formatCode>General</c:formatCode>
                <c:ptCount val="9"/>
                <c:pt idx="0">
                  <c:v>1</c:v>
                </c:pt>
                <c:pt idx="1">
                  <c:v>1</c:v>
                </c:pt>
                <c:pt idx="2">
                  <c:v>5</c:v>
                </c:pt>
                <c:pt idx="3">
                  <c:v>4</c:v>
                </c:pt>
                <c:pt idx="4">
                  <c:v>1</c:v>
                </c:pt>
                <c:pt idx="5">
                  <c:v>2</c:v>
                </c:pt>
                <c:pt idx="6">
                  <c:v>19</c:v>
                </c:pt>
                <c:pt idx="7">
                  <c:v>37</c:v>
                </c:pt>
                <c:pt idx="8">
                  <c:v>32</c:v>
                </c:pt>
              </c:numCache>
            </c:numRef>
          </c:val>
          <c:extLst>
            <c:ext xmlns:c16="http://schemas.microsoft.com/office/drawing/2014/chart" uri="{C3380CC4-5D6E-409C-BE32-E72D297353CC}">
              <c16:uniqueId val="{00000000-D44B-4DFF-A81B-7F43144AFF30}"/>
            </c:ext>
          </c:extLst>
        </c:ser>
        <c:ser>
          <c:idx val="1"/>
          <c:order val="1"/>
          <c:tx>
            <c:strRef>
              <c:f>Calculate!$A$68</c:f>
              <c:strCache>
                <c:ptCount val="1"/>
                <c:pt idx="0">
                  <c:v>Cargo</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Lit>
              <c:formatCode>General</c:formatCode>
              <c:ptCount val="9"/>
              <c:pt idx="0">
                <c:v>2010</c:v>
              </c:pt>
              <c:pt idx="1">
                <c:v>2011</c:v>
              </c:pt>
              <c:pt idx="2">
                <c:v>2012</c:v>
              </c:pt>
              <c:pt idx="3">
                <c:v>2013</c:v>
              </c:pt>
              <c:pt idx="4">
                <c:v>2014</c:v>
              </c:pt>
              <c:pt idx="5">
                <c:v>2015</c:v>
              </c:pt>
              <c:pt idx="6">
                <c:v>2016</c:v>
              </c:pt>
              <c:pt idx="7">
                <c:v>2017</c:v>
              </c:pt>
              <c:pt idx="8">
                <c:v>2018</c:v>
              </c:pt>
            </c:numLit>
          </c:cat>
          <c:val>
            <c:numRef>
              <c:f>Calculate!$C$68:$K$68</c:f>
              <c:numCache>
                <c:formatCode>General</c:formatCode>
                <c:ptCount val="9"/>
                <c:pt idx="0">
                  <c:v>0</c:v>
                </c:pt>
                <c:pt idx="1">
                  <c:v>5</c:v>
                </c:pt>
                <c:pt idx="2">
                  <c:v>5</c:v>
                </c:pt>
                <c:pt idx="3">
                  <c:v>1</c:v>
                </c:pt>
                <c:pt idx="4">
                  <c:v>0</c:v>
                </c:pt>
                <c:pt idx="5">
                  <c:v>0</c:v>
                </c:pt>
                <c:pt idx="6">
                  <c:v>5</c:v>
                </c:pt>
                <c:pt idx="7">
                  <c:v>2</c:v>
                </c:pt>
                <c:pt idx="8">
                  <c:v>10</c:v>
                </c:pt>
              </c:numCache>
            </c:numRef>
          </c:val>
          <c:extLst>
            <c:ext xmlns:c16="http://schemas.microsoft.com/office/drawing/2014/chart" uri="{C3380CC4-5D6E-409C-BE32-E72D297353CC}">
              <c16:uniqueId val="{00000001-D44B-4DFF-A81B-7F43144AFF30}"/>
            </c:ext>
          </c:extLst>
        </c:ser>
        <c:ser>
          <c:idx val="2"/>
          <c:order val="2"/>
          <c:tx>
            <c:strRef>
              <c:f>Calculate!$A$69</c:f>
              <c:strCache>
                <c:ptCount val="1"/>
                <c:pt idx="0">
                  <c:v>Hull</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Lit>
              <c:formatCode>General</c:formatCode>
              <c:ptCount val="9"/>
              <c:pt idx="0">
                <c:v>2010</c:v>
              </c:pt>
              <c:pt idx="1">
                <c:v>2011</c:v>
              </c:pt>
              <c:pt idx="2">
                <c:v>2012</c:v>
              </c:pt>
              <c:pt idx="3">
                <c:v>2013</c:v>
              </c:pt>
              <c:pt idx="4">
                <c:v>2014</c:v>
              </c:pt>
              <c:pt idx="5">
                <c:v>2015</c:v>
              </c:pt>
              <c:pt idx="6">
                <c:v>2016</c:v>
              </c:pt>
              <c:pt idx="7">
                <c:v>2017</c:v>
              </c:pt>
              <c:pt idx="8">
                <c:v>2018</c:v>
              </c:pt>
            </c:numLit>
          </c:cat>
          <c:val>
            <c:numRef>
              <c:f>Calculate!$C$69:$K$69</c:f>
              <c:numCache>
                <c:formatCode>General</c:formatCode>
                <c:ptCount val="9"/>
                <c:pt idx="0">
                  <c:v>1</c:v>
                </c:pt>
                <c:pt idx="1">
                  <c:v>2</c:v>
                </c:pt>
                <c:pt idx="2">
                  <c:v>3</c:v>
                </c:pt>
                <c:pt idx="3">
                  <c:v>0</c:v>
                </c:pt>
                <c:pt idx="4">
                  <c:v>0</c:v>
                </c:pt>
                <c:pt idx="5">
                  <c:v>0</c:v>
                </c:pt>
                <c:pt idx="6">
                  <c:v>0</c:v>
                </c:pt>
                <c:pt idx="7">
                  <c:v>3</c:v>
                </c:pt>
                <c:pt idx="8">
                  <c:v>0</c:v>
                </c:pt>
              </c:numCache>
            </c:numRef>
          </c:val>
          <c:extLst>
            <c:ext xmlns:c16="http://schemas.microsoft.com/office/drawing/2014/chart" uri="{C3380CC4-5D6E-409C-BE32-E72D297353CC}">
              <c16:uniqueId val="{00000002-D44B-4DFF-A81B-7F43144AFF30}"/>
            </c:ext>
          </c:extLst>
        </c:ser>
        <c:ser>
          <c:idx val="3"/>
          <c:order val="3"/>
          <c:tx>
            <c:strRef>
              <c:f>Calculate!$A$70</c:f>
              <c:strCache>
                <c:ptCount val="1"/>
                <c:pt idx="0">
                  <c:v>CPM</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Lit>
              <c:formatCode>General</c:formatCode>
              <c:ptCount val="9"/>
              <c:pt idx="0">
                <c:v>2010</c:v>
              </c:pt>
              <c:pt idx="1">
                <c:v>2011</c:v>
              </c:pt>
              <c:pt idx="2">
                <c:v>2012</c:v>
              </c:pt>
              <c:pt idx="3">
                <c:v>2013</c:v>
              </c:pt>
              <c:pt idx="4">
                <c:v>2014</c:v>
              </c:pt>
              <c:pt idx="5">
                <c:v>2015</c:v>
              </c:pt>
              <c:pt idx="6">
                <c:v>2016</c:v>
              </c:pt>
              <c:pt idx="7">
                <c:v>2017</c:v>
              </c:pt>
              <c:pt idx="8">
                <c:v>2018</c:v>
              </c:pt>
            </c:numLit>
          </c:cat>
          <c:val>
            <c:numRef>
              <c:f>Calculate!$C$70:$K$70</c:f>
              <c:numCache>
                <c:formatCode>General</c:formatCode>
                <c:ptCount val="9"/>
                <c:pt idx="0">
                  <c:v>0</c:v>
                </c:pt>
                <c:pt idx="1">
                  <c:v>0</c:v>
                </c:pt>
                <c:pt idx="2">
                  <c:v>0</c:v>
                </c:pt>
                <c:pt idx="3">
                  <c:v>0</c:v>
                </c:pt>
                <c:pt idx="4">
                  <c:v>0</c:v>
                </c:pt>
                <c:pt idx="5">
                  <c:v>30</c:v>
                </c:pt>
                <c:pt idx="6">
                  <c:v>36</c:v>
                </c:pt>
                <c:pt idx="7">
                  <c:v>0</c:v>
                </c:pt>
                <c:pt idx="8">
                  <c:v>0</c:v>
                </c:pt>
              </c:numCache>
            </c:numRef>
          </c:val>
          <c:extLst>
            <c:ext xmlns:c16="http://schemas.microsoft.com/office/drawing/2014/chart" uri="{C3380CC4-5D6E-409C-BE32-E72D297353CC}">
              <c16:uniqueId val="{00000003-D44B-4DFF-A81B-7F43144AFF30}"/>
            </c:ext>
          </c:extLst>
        </c:ser>
        <c:ser>
          <c:idx val="4"/>
          <c:order val="4"/>
          <c:tx>
            <c:strRef>
              <c:f>Calculate!$A$71</c:f>
              <c:strCache>
                <c:ptCount val="1"/>
                <c:pt idx="0">
                  <c:v>Casualty</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Lit>
              <c:formatCode>General</c:formatCode>
              <c:ptCount val="9"/>
              <c:pt idx="0">
                <c:v>2010</c:v>
              </c:pt>
              <c:pt idx="1">
                <c:v>2011</c:v>
              </c:pt>
              <c:pt idx="2">
                <c:v>2012</c:v>
              </c:pt>
              <c:pt idx="3">
                <c:v>2013</c:v>
              </c:pt>
              <c:pt idx="4">
                <c:v>2014</c:v>
              </c:pt>
              <c:pt idx="5">
                <c:v>2015</c:v>
              </c:pt>
              <c:pt idx="6">
                <c:v>2016</c:v>
              </c:pt>
              <c:pt idx="7">
                <c:v>2017</c:v>
              </c:pt>
              <c:pt idx="8">
                <c:v>2018</c:v>
              </c:pt>
            </c:numLit>
          </c:cat>
          <c:val>
            <c:numRef>
              <c:f>Calculate!$C$71:$K$71</c:f>
              <c:numCache>
                <c:formatCode>General</c:formatCode>
                <c:ptCount val="9"/>
                <c:pt idx="0">
                  <c:v>0</c:v>
                </c:pt>
                <c:pt idx="1">
                  <c:v>0</c:v>
                </c:pt>
                <c:pt idx="2">
                  <c:v>0</c:v>
                </c:pt>
                <c:pt idx="3">
                  <c:v>0</c:v>
                </c:pt>
                <c:pt idx="4">
                  <c:v>0</c:v>
                </c:pt>
                <c:pt idx="5">
                  <c:v>0</c:v>
                </c:pt>
                <c:pt idx="6">
                  <c:v>2</c:v>
                </c:pt>
                <c:pt idx="7">
                  <c:v>1</c:v>
                </c:pt>
                <c:pt idx="8">
                  <c:v>3</c:v>
                </c:pt>
              </c:numCache>
            </c:numRef>
          </c:val>
          <c:extLst>
            <c:ext xmlns:c16="http://schemas.microsoft.com/office/drawing/2014/chart" uri="{C3380CC4-5D6E-409C-BE32-E72D297353CC}">
              <c16:uniqueId val="{00000004-D44B-4DFF-A81B-7F43144AFF30}"/>
            </c:ext>
          </c:extLst>
        </c:ser>
        <c:ser>
          <c:idx val="5"/>
          <c:order val="5"/>
          <c:tx>
            <c:strRef>
              <c:f>Calculate!$A$72</c:f>
              <c:strCache>
                <c:ptCount val="1"/>
                <c:pt idx="0">
                  <c:v>Engineering</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Lit>
              <c:formatCode>General</c:formatCode>
              <c:ptCount val="9"/>
              <c:pt idx="0">
                <c:v>2010</c:v>
              </c:pt>
              <c:pt idx="1">
                <c:v>2011</c:v>
              </c:pt>
              <c:pt idx="2">
                <c:v>2012</c:v>
              </c:pt>
              <c:pt idx="3">
                <c:v>2013</c:v>
              </c:pt>
              <c:pt idx="4">
                <c:v>2014</c:v>
              </c:pt>
              <c:pt idx="5">
                <c:v>2015</c:v>
              </c:pt>
              <c:pt idx="6">
                <c:v>2016</c:v>
              </c:pt>
              <c:pt idx="7">
                <c:v>2017</c:v>
              </c:pt>
              <c:pt idx="8">
                <c:v>2018</c:v>
              </c:pt>
            </c:numLit>
          </c:cat>
          <c:val>
            <c:numRef>
              <c:f>Calculate!$C$72:$K$72</c:f>
              <c:numCache>
                <c:formatCode>General</c:formatCode>
                <c:ptCount val="9"/>
                <c:pt idx="0">
                  <c:v>0</c:v>
                </c:pt>
                <c:pt idx="1">
                  <c:v>2</c:v>
                </c:pt>
                <c:pt idx="2">
                  <c:v>1</c:v>
                </c:pt>
                <c:pt idx="3">
                  <c:v>3</c:v>
                </c:pt>
                <c:pt idx="4">
                  <c:v>0</c:v>
                </c:pt>
                <c:pt idx="5">
                  <c:v>13</c:v>
                </c:pt>
                <c:pt idx="6">
                  <c:v>11</c:v>
                </c:pt>
                <c:pt idx="7">
                  <c:v>17</c:v>
                </c:pt>
                <c:pt idx="8">
                  <c:v>6</c:v>
                </c:pt>
              </c:numCache>
            </c:numRef>
          </c:val>
          <c:extLst>
            <c:ext xmlns:c16="http://schemas.microsoft.com/office/drawing/2014/chart" uri="{C3380CC4-5D6E-409C-BE32-E72D297353CC}">
              <c16:uniqueId val="{00000005-D44B-4DFF-A81B-7F43144AFF30}"/>
            </c:ext>
          </c:extLst>
        </c:ser>
        <c:dLbls>
          <c:showLegendKey val="0"/>
          <c:showVal val="1"/>
          <c:showCatName val="0"/>
          <c:showSerName val="0"/>
          <c:showPercent val="0"/>
          <c:showBubbleSize val="0"/>
        </c:dLbls>
        <c:gapWidth val="75"/>
        <c:shape val="box"/>
        <c:axId val="515225576"/>
        <c:axId val="1"/>
        <c:axId val="0"/>
      </c:bar3DChart>
      <c:catAx>
        <c:axId val="515225576"/>
        <c:scaling>
          <c:orientation val="minMax"/>
        </c:scaling>
        <c:delete val="0"/>
        <c:axPos val="b"/>
        <c:numFmt formatCode="General" sourceLinked="1"/>
        <c:majorTickMark val="none"/>
        <c:minorTickMark val="none"/>
        <c:tickLblPos val="nextTo"/>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numFmt formatCode="General" sourceLinked="1"/>
        <c:majorTickMark val="none"/>
        <c:minorTickMark val="none"/>
        <c:tickLblPos val="nextTo"/>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225576"/>
        <c:crosses val="autoZero"/>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a:solidFill>
        <a:schemeClr val="tx1"/>
      </a:solidFill>
    </a:ln>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7004551929998616E-2"/>
          <c:y val="0.10124986523952782"/>
          <c:w val="0.91200478005575025"/>
          <c:h val="0.83625026189299323"/>
        </c:manualLayout>
      </c:layout>
      <c:pie3DChart>
        <c:varyColors val="1"/>
        <c:ser>
          <c:idx val="0"/>
          <c:order val="0"/>
          <c:spPr>
            <a:ln w="104775">
              <a:solidFill>
                <a:schemeClr val="bg1"/>
              </a:solidFill>
            </a:ln>
          </c:spPr>
          <c:explosion val="13"/>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04775">
                <a:solidFill>
                  <a:schemeClr val="bg1"/>
                </a:solidFill>
              </a:ln>
              <a:effectLst>
                <a:outerShdw blurRad="57150" dist="19050" dir="5400000" algn="ctr" rotWithShape="0">
                  <a:srgbClr val="000000">
                    <a:alpha val="63000"/>
                  </a:srgbClr>
                </a:outerShdw>
              </a:effectLst>
              <a:sp3d contourW="104775">
                <a:contourClr>
                  <a:schemeClr val="bg1"/>
                </a:contourClr>
              </a:sp3d>
            </c:spPr>
            <c:extLst>
              <c:ext xmlns:c16="http://schemas.microsoft.com/office/drawing/2014/chart" uri="{C3380CC4-5D6E-409C-BE32-E72D297353CC}">
                <c16:uniqueId val="{00000001-C555-4F99-8973-6A3D43323BB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04775">
                <a:solidFill>
                  <a:schemeClr val="bg1"/>
                </a:solidFill>
              </a:ln>
              <a:effectLst>
                <a:outerShdw blurRad="57150" dist="19050" dir="5400000" algn="ctr" rotWithShape="0">
                  <a:srgbClr val="000000">
                    <a:alpha val="63000"/>
                  </a:srgbClr>
                </a:outerShdw>
              </a:effectLst>
              <a:sp3d contourW="104775">
                <a:contourClr>
                  <a:schemeClr val="bg1"/>
                </a:contourClr>
              </a:sp3d>
            </c:spPr>
            <c:extLst>
              <c:ext xmlns:c16="http://schemas.microsoft.com/office/drawing/2014/chart" uri="{C3380CC4-5D6E-409C-BE32-E72D297353CC}">
                <c16:uniqueId val="{00000003-C555-4F99-8973-6A3D43323BB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04775">
                <a:solidFill>
                  <a:schemeClr val="bg1"/>
                </a:solidFill>
              </a:ln>
              <a:effectLst>
                <a:outerShdw blurRad="57150" dist="19050" dir="5400000" algn="ctr" rotWithShape="0">
                  <a:srgbClr val="000000">
                    <a:alpha val="63000"/>
                  </a:srgbClr>
                </a:outerShdw>
              </a:effectLst>
              <a:sp3d contourW="104775">
                <a:contourClr>
                  <a:schemeClr val="bg1"/>
                </a:contourClr>
              </a:sp3d>
            </c:spPr>
            <c:extLst>
              <c:ext xmlns:c16="http://schemas.microsoft.com/office/drawing/2014/chart" uri="{C3380CC4-5D6E-409C-BE32-E72D297353CC}">
                <c16:uniqueId val="{00000005-C555-4F99-8973-6A3D43323BB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04775">
                <a:solidFill>
                  <a:schemeClr val="bg1"/>
                </a:solidFill>
              </a:ln>
              <a:effectLst>
                <a:outerShdw blurRad="57150" dist="19050" dir="5400000" algn="ctr" rotWithShape="0">
                  <a:srgbClr val="000000">
                    <a:alpha val="63000"/>
                  </a:srgbClr>
                </a:outerShdw>
              </a:effectLst>
              <a:sp3d contourW="104775">
                <a:contourClr>
                  <a:schemeClr val="bg1"/>
                </a:contourClr>
              </a:sp3d>
            </c:spPr>
            <c:extLst>
              <c:ext xmlns:c16="http://schemas.microsoft.com/office/drawing/2014/chart" uri="{C3380CC4-5D6E-409C-BE32-E72D297353CC}">
                <c16:uniqueId val="{00000007-C555-4F99-8973-6A3D43323BB5}"/>
              </c:ext>
            </c:extLst>
          </c:dPt>
          <c:dLbls>
            <c:dLbl>
              <c:idx val="3"/>
              <c:layout>
                <c:manualLayout>
                  <c:x val="0.16586921850079744"/>
                  <c:y val="1.197604790419161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555-4F99-8973-6A3D43323BB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Calculate!$A$78:$B$81</c:f>
              <c:strCache>
                <c:ptCount val="4"/>
                <c:pt idx="0">
                  <c:v>0 day -7 days</c:v>
                </c:pt>
                <c:pt idx="1">
                  <c:v>7 days - 14 day</c:v>
                </c:pt>
                <c:pt idx="2">
                  <c:v>14 days - 30 days</c:v>
                </c:pt>
                <c:pt idx="3">
                  <c:v>&gt; 30 days</c:v>
                </c:pt>
              </c:strCache>
            </c:strRef>
          </c:cat>
          <c:val>
            <c:numRef>
              <c:f>Calculate!$C$78:$C$81</c:f>
              <c:numCache>
                <c:formatCode>General</c:formatCode>
                <c:ptCount val="4"/>
                <c:pt idx="0">
                  <c:v>191</c:v>
                </c:pt>
                <c:pt idx="1">
                  <c:v>64</c:v>
                </c:pt>
                <c:pt idx="2">
                  <c:v>3</c:v>
                </c:pt>
                <c:pt idx="3">
                  <c:v>6</c:v>
                </c:pt>
              </c:numCache>
            </c:numRef>
          </c:val>
          <c:extLst>
            <c:ext xmlns:c16="http://schemas.microsoft.com/office/drawing/2014/chart" uri="{C3380CC4-5D6E-409C-BE32-E72D297353CC}">
              <c16:uniqueId val="{00000008-C555-4F99-8973-6A3D43323BB5}"/>
            </c:ext>
          </c:extLst>
        </c:ser>
        <c:dLbls>
          <c:dLblPos val="outEnd"/>
          <c:showLegendKey val="0"/>
          <c:showVal val="0"/>
          <c:showCatName val="1"/>
          <c:showSerName val="0"/>
          <c:showPercent val="0"/>
          <c:showBubbleSize val="0"/>
          <c:showLeaderLines val="0"/>
        </c:dLbls>
      </c:pie3DChart>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8606447778933293E-2"/>
          <c:y val="0.10896076007028047"/>
          <c:w val="0.91989000236231"/>
          <c:h val="0.88778557596910967"/>
        </c:manualLayout>
      </c:layout>
      <c:pie3DChart>
        <c:varyColors val="1"/>
        <c:ser>
          <c:idx val="0"/>
          <c:order val="0"/>
          <c:explosion val="17"/>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E301-452E-BB0F-3F4D34F552ED}"/>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E301-452E-BB0F-3F4D34F552ED}"/>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E301-452E-BB0F-3F4D34F552ED}"/>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E301-452E-BB0F-3F4D34F552ED}"/>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E301-452E-BB0F-3F4D34F552ED}"/>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E301-452E-BB0F-3F4D34F552ED}"/>
              </c:ext>
            </c:extLst>
          </c:dPt>
          <c:dLbls>
            <c:dLbl>
              <c:idx val="5"/>
              <c:layout>
                <c:manualLayout>
                  <c:x val="0.15681178112178604"/>
                  <c:y val="7.2872140518760245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301-452E-BB0F-3F4D34F552ED}"/>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Calculate!$D$77:$I$77</c:f>
              <c:strCache>
                <c:ptCount val="6"/>
                <c:pt idx="0">
                  <c:v>fire</c:v>
                </c:pt>
                <c:pt idx="1">
                  <c:v>Cargo</c:v>
                </c:pt>
                <c:pt idx="2">
                  <c:v>hull</c:v>
                </c:pt>
                <c:pt idx="3">
                  <c:v>CPM</c:v>
                </c:pt>
                <c:pt idx="4">
                  <c:v>Casualty</c:v>
                </c:pt>
                <c:pt idx="5">
                  <c:v>Engneering</c:v>
                </c:pt>
              </c:strCache>
            </c:strRef>
          </c:cat>
          <c:val>
            <c:numRef>
              <c:f>Calculate!$D$81:$I$81</c:f>
              <c:numCache>
                <c:formatCode>General</c:formatCode>
                <c:ptCount val="6"/>
                <c:pt idx="0">
                  <c:v>2</c:v>
                </c:pt>
                <c:pt idx="1">
                  <c:v>0</c:v>
                </c:pt>
                <c:pt idx="2">
                  <c:v>1</c:v>
                </c:pt>
                <c:pt idx="3">
                  <c:v>0</c:v>
                </c:pt>
                <c:pt idx="4">
                  <c:v>1</c:v>
                </c:pt>
                <c:pt idx="5">
                  <c:v>2</c:v>
                </c:pt>
              </c:numCache>
            </c:numRef>
          </c:val>
          <c:extLst>
            <c:ext xmlns:c16="http://schemas.microsoft.com/office/drawing/2014/chart" uri="{C3380CC4-5D6E-409C-BE32-E72D297353CC}">
              <c16:uniqueId val="{0000000C-E301-452E-BB0F-3F4D34F552ED}"/>
            </c:ext>
          </c:extLst>
        </c:ser>
        <c:dLbls>
          <c:showLegendKey val="0"/>
          <c:showVal val="1"/>
          <c:showCatName val="1"/>
          <c:showSerName val="0"/>
          <c:showPercent val="0"/>
          <c:showBubbleSize val="0"/>
          <c:showLeaderLines val="0"/>
        </c:dLbls>
      </c:pie3DChart>
      <c:spPr>
        <a:noFill/>
        <a:ln>
          <a:noFill/>
        </a:ln>
        <a:effectLst/>
      </c:spPr>
    </c:plotArea>
    <c:plotVisOnly val="1"/>
    <c:dispBlanksAs val="gap"/>
    <c:showDLblsOverMax val="0"/>
  </c:chart>
  <c:spPr>
    <a:pattFill prst="dkDnDiag">
      <a:fgClr>
        <a:schemeClr val="lt1">
          <a:lumMod val="95000"/>
        </a:schemeClr>
      </a:fgClr>
      <a:bgClr>
        <a:schemeClr val="lt1"/>
      </a:bgClr>
    </a:patt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7.8519288862477096E-2"/>
          <c:y val="3.7483266398929051E-2"/>
          <c:w val="0.89003417025701981"/>
          <c:h val="0.7186393869441019"/>
        </c:manualLayout>
      </c:layout>
      <c:bar3DChart>
        <c:barDir val="col"/>
        <c:grouping val="stacked"/>
        <c:varyColors val="0"/>
        <c:ser>
          <c:idx val="0"/>
          <c:order val="0"/>
          <c:tx>
            <c:strRef>
              <c:f>[1]Information!$V$2</c:f>
              <c:strCache>
                <c:ptCount val="1"/>
                <c:pt idx="0">
                  <c:v>Settled</c:v>
                </c:pt>
              </c:strCache>
            </c:strRef>
          </c:tx>
          <c:spPr>
            <a:solidFill>
              <a:srgbClr val="92D050"/>
            </a:solidFill>
            <a:ln w="25400">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[1]Information!$V$9:$V$17</c:f>
              <c:numCache>
                <c:formatCode>General</c:formatCode>
                <c:ptCount val="9"/>
                <c:pt idx="0">
                  <c:v>135</c:v>
                </c:pt>
                <c:pt idx="1">
                  <c:v>80</c:v>
                </c:pt>
                <c:pt idx="2">
                  <c:v>101</c:v>
                </c:pt>
                <c:pt idx="3">
                  <c:v>115</c:v>
                </c:pt>
                <c:pt idx="4">
                  <c:v>105</c:v>
                </c:pt>
                <c:pt idx="5">
                  <c:v>99</c:v>
                </c:pt>
                <c:pt idx="6">
                  <c:v>151</c:v>
                </c:pt>
                <c:pt idx="7">
                  <c:v>102</c:v>
                </c:pt>
                <c:pt idx="8">
                  <c:v>4</c:v>
                </c:pt>
              </c:numCache>
            </c:numRef>
          </c:val>
          <c:extLst>
            <c:ext xmlns:c16="http://schemas.microsoft.com/office/drawing/2014/chart" uri="{C3380CC4-5D6E-409C-BE32-E72D297353CC}">
              <c16:uniqueId val="{00000000-4362-4FB4-B635-E6B77F3CD588}"/>
            </c:ext>
          </c:extLst>
        </c:ser>
        <c:ser>
          <c:idx val="1"/>
          <c:order val="1"/>
          <c:tx>
            <c:strRef>
              <c:f>[1]Information!$W$2</c:f>
              <c:strCache>
                <c:ptCount val="1"/>
                <c:pt idx="0">
                  <c:v>Outstanding</c:v>
                </c:pt>
              </c:strCache>
            </c:strRef>
          </c:tx>
          <c:spPr>
            <a:solidFill>
              <a:schemeClr val="bg2">
                <a:lumMod val="75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[1]Information!$W$9:$W$17</c:f>
              <c:numCache>
                <c:formatCode>General</c:formatCode>
                <c:ptCount val="9"/>
                <c:pt idx="0">
                  <c:v>1</c:v>
                </c:pt>
                <c:pt idx="1">
                  <c:v>0</c:v>
                </c:pt>
                <c:pt idx="2">
                  <c:v>6</c:v>
                </c:pt>
                <c:pt idx="3">
                  <c:v>3</c:v>
                </c:pt>
                <c:pt idx="4">
                  <c:v>2</c:v>
                </c:pt>
                <c:pt idx="5">
                  <c:v>1</c:v>
                </c:pt>
                <c:pt idx="6">
                  <c:v>17</c:v>
                </c:pt>
                <c:pt idx="7">
                  <c:v>32</c:v>
                </c:pt>
                <c:pt idx="8">
                  <c:v>31</c:v>
                </c:pt>
              </c:numCache>
            </c:numRef>
          </c:val>
          <c:extLst>
            <c:ext xmlns:c16="http://schemas.microsoft.com/office/drawing/2014/chart" uri="{C3380CC4-5D6E-409C-BE32-E72D297353CC}">
              <c16:uniqueId val="{00000001-4362-4FB4-B635-E6B77F3CD588}"/>
            </c:ext>
          </c:extLst>
        </c:ser>
        <c:dLbls>
          <c:showLegendKey val="0"/>
          <c:showVal val="0"/>
          <c:showCatName val="0"/>
          <c:showSerName val="0"/>
          <c:showPercent val="0"/>
          <c:showBubbleSize val="0"/>
        </c:dLbls>
        <c:gapWidth val="75"/>
        <c:shape val="box"/>
        <c:axId val="460525536"/>
        <c:axId val="1"/>
        <c:axId val="0"/>
      </c:bar3DChart>
      <c:catAx>
        <c:axId val="4605255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60525536"/>
        <c:crosses val="autoZero"/>
        <c:crossBetween val="between"/>
      </c:valAx>
      <c:spPr>
        <a:noFill/>
        <a:ln w="25400">
          <a:noFill/>
        </a:ln>
      </c:spPr>
    </c:plotArea>
    <c:legend>
      <c:legendPos val="b"/>
      <c:overlay val="0"/>
      <c:spPr>
        <a:noFill/>
        <a:ln w="25400">
          <a:noFill/>
        </a:ln>
      </c:spPr>
      <c:txPr>
        <a:bodyPr/>
        <a:lstStyle/>
        <a:p>
          <a:pPr>
            <a:defRPr sz="1200" b="0" i="0" u="none" strike="noStrike" baseline="0">
              <a:solidFill>
                <a:srgbClr val="333333"/>
              </a:solidFill>
              <a:latin typeface="Calibri"/>
              <a:ea typeface="Calibri"/>
              <a:cs typeface="Calibri"/>
            </a:defRPr>
          </a:pPr>
          <a:endParaRPr lang="en-US"/>
        </a:p>
      </c:txPr>
    </c:legend>
    <c:plotVisOnly val="1"/>
    <c:dispBlanksAs val="gap"/>
    <c:showDLblsOverMax val="0"/>
  </c:chart>
  <c:spPr>
    <a:noFill/>
    <a:ln w="9525">
      <a:solidFill>
        <a:schemeClr val="tx1"/>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stacked"/>
        <c:varyColors val="0"/>
        <c:ser>
          <c:idx val="0"/>
          <c:order val="0"/>
          <c:tx>
            <c:v>Polis ACA Limit Cabang</c:v>
          </c:tx>
          <c:spPr>
            <a:solidFill>
              <a:schemeClr val="accent1">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[1]Information!$Y$9:$Y$17</c:f>
              <c:numCache>
                <c:formatCode>General</c:formatCode>
                <c:ptCount val="9"/>
                <c:pt idx="0">
                  <c:v>43</c:v>
                </c:pt>
                <c:pt idx="1">
                  <c:v>35</c:v>
                </c:pt>
                <c:pt idx="2">
                  <c:v>37</c:v>
                </c:pt>
                <c:pt idx="3">
                  <c:v>38</c:v>
                </c:pt>
                <c:pt idx="4">
                  <c:v>23</c:v>
                </c:pt>
                <c:pt idx="5">
                  <c:v>18</c:v>
                </c:pt>
                <c:pt idx="6">
                  <c:v>29</c:v>
                </c:pt>
                <c:pt idx="7">
                  <c:v>22</c:v>
                </c:pt>
                <c:pt idx="8">
                  <c:v>4</c:v>
                </c:pt>
              </c:numCache>
            </c:numRef>
          </c:val>
          <c:extLst>
            <c:ext xmlns:c16="http://schemas.microsoft.com/office/drawing/2014/chart" uri="{C3380CC4-5D6E-409C-BE32-E72D297353CC}">
              <c16:uniqueId val="{00000000-D48A-4413-86B9-D72355996A35}"/>
            </c:ext>
          </c:extLst>
        </c:ser>
        <c:ser>
          <c:idx val="2"/>
          <c:order val="1"/>
          <c:tx>
            <c:v>Polis Inward Limit Cabang</c:v>
          </c:tx>
          <c:spPr>
            <a:solidFill>
              <a:schemeClr val="accent1">
                <a:lumMod val="20000"/>
                <a:lumOff val="8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[1]Information!$AA$9:$AA$17</c:f>
              <c:numCache>
                <c:formatCode>General</c:formatCode>
                <c:ptCount val="9"/>
                <c:pt idx="0">
                  <c:v>26</c:v>
                </c:pt>
                <c:pt idx="1">
                  <c:v>14</c:v>
                </c:pt>
                <c:pt idx="2">
                  <c:v>29</c:v>
                </c:pt>
                <c:pt idx="3">
                  <c:v>29</c:v>
                </c:pt>
                <c:pt idx="4">
                  <c:v>21</c:v>
                </c:pt>
                <c:pt idx="5">
                  <c:v>49</c:v>
                </c:pt>
                <c:pt idx="6">
                  <c:v>98</c:v>
                </c:pt>
                <c:pt idx="7">
                  <c:v>78</c:v>
                </c:pt>
                <c:pt idx="8">
                  <c:v>12</c:v>
                </c:pt>
              </c:numCache>
            </c:numRef>
          </c:val>
          <c:extLst>
            <c:ext xmlns:c16="http://schemas.microsoft.com/office/drawing/2014/chart" uri="{C3380CC4-5D6E-409C-BE32-E72D297353CC}">
              <c16:uniqueId val="{00000001-D48A-4413-86B9-D72355996A35}"/>
            </c:ext>
          </c:extLst>
        </c:ser>
        <c:ser>
          <c:idx val="1"/>
          <c:order val="2"/>
          <c:tx>
            <c:v>Polis ACA Limit HO</c:v>
          </c:tx>
          <c:spPr>
            <a:solidFill>
              <a:schemeClr val="accent6">
                <a:lumMod val="40000"/>
                <a:lumOff val="6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[1]Information!$Z$9:$Z$17</c:f>
              <c:numCache>
                <c:formatCode>General</c:formatCode>
                <c:ptCount val="9"/>
                <c:pt idx="0">
                  <c:v>46</c:v>
                </c:pt>
                <c:pt idx="1">
                  <c:v>24</c:v>
                </c:pt>
                <c:pt idx="2">
                  <c:v>23</c:v>
                </c:pt>
                <c:pt idx="3">
                  <c:v>36</c:v>
                </c:pt>
                <c:pt idx="4">
                  <c:v>35</c:v>
                </c:pt>
                <c:pt idx="5">
                  <c:v>24</c:v>
                </c:pt>
                <c:pt idx="6">
                  <c:v>23</c:v>
                </c:pt>
                <c:pt idx="7">
                  <c:v>19</c:v>
                </c:pt>
                <c:pt idx="8">
                  <c:v>13</c:v>
                </c:pt>
              </c:numCache>
            </c:numRef>
          </c:val>
          <c:extLst>
            <c:ext xmlns:c16="http://schemas.microsoft.com/office/drawing/2014/chart" uri="{C3380CC4-5D6E-409C-BE32-E72D297353CC}">
              <c16:uniqueId val="{00000002-D48A-4413-86B9-D72355996A35}"/>
            </c:ext>
          </c:extLst>
        </c:ser>
        <c:ser>
          <c:idx val="3"/>
          <c:order val="3"/>
          <c:tx>
            <c:v>Polis Inward Limit HO</c:v>
          </c:tx>
          <c:spPr>
            <a:solidFill>
              <a:schemeClr val="accent6">
                <a:lumMod val="20000"/>
                <a:lumOff val="80000"/>
              </a:schemeClr>
            </a:solidFill>
            <a:ln w="25400">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[1]Information!$AB$9:$AB$17</c:f>
              <c:numCache>
                <c:formatCode>General</c:formatCode>
                <c:ptCount val="9"/>
                <c:pt idx="0">
                  <c:v>21</c:v>
                </c:pt>
                <c:pt idx="1">
                  <c:v>7</c:v>
                </c:pt>
                <c:pt idx="2">
                  <c:v>18</c:v>
                </c:pt>
                <c:pt idx="3">
                  <c:v>15</c:v>
                </c:pt>
                <c:pt idx="4">
                  <c:v>28</c:v>
                </c:pt>
                <c:pt idx="5">
                  <c:v>9</c:v>
                </c:pt>
                <c:pt idx="6">
                  <c:v>18</c:v>
                </c:pt>
                <c:pt idx="7">
                  <c:v>15</c:v>
                </c:pt>
                <c:pt idx="8">
                  <c:v>6</c:v>
                </c:pt>
              </c:numCache>
            </c:numRef>
          </c:val>
          <c:extLst>
            <c:ext xmlns:c16="http://schemas.microsoft.com/office/drawing/2014/chart" uri="{C3380CC4-5D6E-409C-BE32-E72D297353CC}">
              <c16:uniqueId val="{00000003-D48A-4413-86B9-D72355996A35}"/>
            </c:ext>
          </c:extLst>
        </c:ser>
        <c:dLbls>
          <c:showLegendKey val="0"/>
          <c:showVal val="0"/>
          <c:showCatName val="0"/>
          <c:showSerName val="0"/>
          <c:showPercent val="0"/>
          <c:showBubbleSize val="0"/>
        </c:dLbls>
        <c:gapWidth val="75"/>
        <c:shape val="box"/>
        <c:axId val="52959440"/>
        <c:axId val="1"/>
        <c:axId val="0"/>
      </c:bar3DChart>
      <c:catAx>
        <c:axId val="5295944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52959440"/>
        <c:crosses val="autoZero"/>
        <c:crossBetween val="between"/>
      </c:valAx>
      <c:spPr>
        <a:noFill/>
        <a:ln w="25400">
          <a:noFill/>
        </a:ln>
      </c:spPr>
    </c:plotArea>
    <c:legend>
      <c:legendPos val="b"/>
      <c:layout>
        <c:manualLayout>
          <c:xMode val="edge"/>
          <c:yMode val="edge"/>
          <c:x val="1.3789866906947484E-2"/>
          <c:y val="0.78731375140946869"/>
          <c:w val="0.94961627706730067"/>
          <c:h val="0.18464407787627293"/>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gap"/>
    <c:showDLblsOverMax val="0"/>
  </c:chart>
  <c:spPr>
    <a:noFill/>
    <a:ln w="9525">
      <a:solidFill>
        <a:schemeClr val="tx1"/>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stacked"/>
        <c:varyColors val="0"/>
        <c:ser>
          <c:idx val="0"/>
          <c:order val="0"/>
          <c:tx>
            <c:strRef>
              <c:f>[1]Information!$G$3</c:f>
              <c:strCache>
                <c:ptCount val="1"/>
                <c:pt idx="0">
                  <c:v>0 Day - 7 Days</c:v>
                </c:pt>
              </c:strCache>
            </c:strRef>
          </c:tx>
          <c:spPr>
            <a:solidFill>
              <a:schemeClr val="accent3">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[1]Information!$G$18:$G$26</c:f>
              <c:numCache>
                <c:formatCode>General</c:formatCode>
                <c:ptCount val="9"/>
                <c:pt idx="0">
                  <c:v>1</c:v>
                </c:pt>
                <c:pt idx="1">
                  <c:v>1</c:v>
                </c:pt>
                <c:pt idx="2">
                  <c:v>5</c:v>
                </c:pt>
                <c:pt idx="3">
                  <c:v>4</c:v>
                </c:pt>
                <c:pt idx="4">
                  <c:v>1</c:v>
                </c:pt>
                <c:pt idx="5">
                  <c:v>1</c:v>
                </c:pt>
                <c:pt idx="6">
                  <c:v>16</c:v>
                </c:pt>
                <c:pt idx="7">
                  <c:v>17</c:v>
                </c:pt>
                <c:pt idx="8">
                  <c:v>19</c:v>
                </c:pt>
              </c:numCache>
            </c:numRef>
          </c:val>
          <c:extLst>
            <c:ext xmlns:c16="http://schemas.microsoft.com/office/drawing/2014/chart" uri="{C3380CC4-5D6E-409C-BE32-E72D297353CC}">
              <c16:uniqueId val="{00000000-FCAD-46F0-9CC6-03C3F571FB10}"/>
            </c:ext>
          </c:extLst>
        </c:ser>
        <c:ser>
          <c:idx val="1"/>
          <c:order val="1"/>
          <c:tx>
            <c:strRef>
              <c:f>[1]Information!$H$3</c:f>
              <c:strCache>
                <c:ptCount val="1"/>
                <c:pt idx="0">
                  <c:v>7 Days - 14 Days</c:v>
                </c:pt>
              </c:strCache>
            </c:strRef>
          </c:tx>
          <c:spPr>
            <a:solidFill>
              <a:schemeClr val="accent6">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[1]Information!$H$18:$H$26</c:f>
              <c:numCache>
                <c:formatCode>General</c:formatCode>
                <c:ptCount val="9"/>
                <c:pt idx="0">
                  <c:v>0</c:v>
                </c:pt>
                <c:pt idx="1">
                  <c:v>0</c:v>
                </c:pt>
                <c:pt idx="2">
                  <c:v>0</c:v>
                </c:pt>
                <c:pt idx="3">
                  <c:v>0</c:v>
                </c:pt>
                <c:pt idx="4">
                  <c:v>0</c:v>
                </c:pt>
                <c:pt idx="5">
                  <c:v>1</c:v>
                </c:pt>
                <c:pt idx="6">
                  <c:v>3</c:v>
                </c:pt>
                <c:pt idx="7">
                  <c:v>19</c:v>
                </c:pt>
                <c:pt idx="8">
                  <c:v>10</c:v>
                </c:pt>
              </c:numCache>
            </c:numRef>
          </c:val>
          <c:extLst>
            <c:ext xmlns:c16="http://schemas.microsoft.com/office/drawing/2014/chart" uri="{C3380CC4-5D6E-409C-BE32-E72D297353CC}">
              <c16:uniqueId val="{00000001-FCAD-46F0-9CC6-03C3F571FB10}"/>
            </c:ext>
          </c:extLst>
        </c:ser>
        <c:ser>
          <c:idx val="2"/>
          <c:order val="2"/>
          <c:tx>
            <c:strRef>
              <c:f>[1]Information!$I$3</c:f>
              <c:strCache>
                <c:ptCount val="1"/>
                <c:pt idx="0">
                  <c:v>14 Days - 30 Days</c:v>
                </c:pt>
              </c:strCache>
            </c:strRef>
          </c:tx>
          <c:spPr>
            <a:solidFill>
              <a:schemeClr val="accent4">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[1]Information!$I$18:$I$26</c:f>
              <c:numCache>
                <c:formatCode>General</c:formatCode>
                <c:ptCount val="9"/>
                <c:pt idx="0">
                  <c:v>0</c:v>
                </c:pt>
                <c:pt idx="1">
                  <c:v>0</c:v>
                </c:pt>
                <c:pt idx="2">
                  <c:v>0</c:v>
                </c:pt>
                <c:pt idx="3">
                  <c:v>0</c:v>
                </c:pt>
                <c:pt idx="4">
                  <c:v>0</c:v>
                </c:pt>
                <c:pt idx="5">
                  <c:v>0</c:v>
                </c:pt>
                <c:pt idx="6">
                  <c:v>0</c:v>
                </c:pt>
                <c:pt idx="7">
                  <c:v>1</c:v>
                </c:pt>
                <c:pt idx="8">
                  <c:v>1</c:v>
                </c:pt>
              </c:numCache>
            </c:numRef>
          </c:val>
          <c:extLst>
            <c:ext xmlns:c16="http://schemas.microsoft.com/office/drawing/2014/chart" uri="{C3380CC4-5D6E-409C-BE32-E72D297353CC}">
              <c16:uniqueId val="{00000002-FCAD-46F0-9CC6-03C3F571FB10}"/>
            </c:ext>
          </c:extLst>
        </c:ser>
        <c:ser>
          <c:idx val="3"/>
          <c:order val="3"/>
          <c:tx>
            <c:strRef>
              <c:f>[1]Information!$J$3</c:f>
              <c:strCache>
                <c:ptCount val="1"/>
                <c:pt idx="0">
                  <c:v>&gt;30 Days</c:v>
                </c:pt>
              </c:strCache>
            </c:strRef>
          </c:tx>
          <c:spPr>
            <a:solidFill>
              <a:schemeClr val="accent2">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[1]Information!$J$18:$J$26</c:f>
              <c:numCache>
                <c:formatCode>General</c:formatCode>
                <c:ptCount val="9"/>
                <c:pt idx="0">
                  <c:v>0</c:v>
                </c:pt>
                <c:pt idx="1">
                  <c:v>0</c:v>
                </c:pt>
                <c:pt idx="2">
                  <c:v>0</c:v>
                </c:pt>
                <c:pt idx="3">
                  <c:v>0</c:v>
                </c:pt>
                <c:pt idx="4">
                  <c:v>0</c:v>
                </c:pt>
                <c:pt idx="5">
                  <c:v>0</c:v>
                </c:pt>
                <c:pt idx="6">
                  <c:v>0</c:v>
                </c:pt>
                <c:pt idx="7">
                  <c:v>0</c:v>
                </c:pt>
                <c:pt idx="8">
                  <c:v>2</c:v>
                </c:pt>
              </c:numCache>
            </c:numRef>
          </c:val>
          <c:extLst>
            <c:ext xmlns:c16="http://schemas.microsoft.com/office/drawing/2014/chart" uri="{C3380CC4-5D6E-409C-BE32-E72D297353CC}">
              <c16:uniqueId val="{00000003-FCAD-46F0-9CC6-03C3F571FB10}"/>
            </c:ext>
          </c:extLst>
        </c:ser>
        <c:dLbls>
          <c:showLegendKey val="0"/>
          <c:showVal val="0"/>
          <c:showCatName val="0"/>
          <c:showSerName val="0"/>
          <c:showPercent val="0"/>
          <c:showBubbleSize val="0"/>
        </c:dLbls>
        <c:gapWidth val="75"/>
        <c:shape val="box"/>
        <c:axId val="511202584"/>
        <c:axId val="1"/>
        <c:axId val="0"/>
      </c:bar3DChart>
      <c:catAx>
        <c:axId val="511202584"/>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max val="80"/>
        </c:scaling>
        <c:delete val="0"/>
        <c:axPos val="l"/>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511202584"/>
        <c:crosses val="autoZero"/>
        <c:crossBetween val="between"/>
        <c:majorUnit val="10"/>
      </c:valAx>
      <c:spPr>
        <a:noFill/>
        <a:ln w="25400">
          <a:noFill/>
        </a:ln>
      </c:spPr>
    </c:plotArea>
    <c:legend>
      <c:legendPos val="b"/>
      <c:layout>
        <c:manualLayout>
          <c:xMode val="edge"/>
          <c:yMode val="edge"/>
          <c:x val="5.9324112445654838E-2"/>
          <c:y val="0.89207430296581736"/>
          <c:w val="0.83182291273091824"/>
          <c:h val="7.9787735623956135E-2"/>
        </c:manualLayout>
      </c:layout>
      <c:overlay val="0"/>
      <c:spPr>
        <a:noFill/>
        <a:ln w="25400">
          <a:noFill/>
        </a:ln>
      </c:spPr>
      <c:txPr>
        <a:bodyPr/>
        <a:lstStyle/>
        <a:p>
          <a:pPr>
            <a:defRPr sz="120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0.13869036370453694"/>
          <c:y val="0.19473113381488472"/>
          <c:w val="0.79119070116235468"/>
          <c:h val="0.75378842107546473"/>
        </c:manualLayout>
      </c:layout>
      <c:pie3DChart>
        <c:varyColors val="1"/>
        <c:ser>
          <c:idx val="0"/>
          <c:order val="0"/>
          <c:explosion val="26"/>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290-4967-AC05-D23BE3E4281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290-4967-AC05-D23BE3E4281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290-4967-AC05-D23BE3E4281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290-4967-AC05-D23BE3E4281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290-4967-AC05-D23BE3E4281C}"/>
              </c:ext>
            </c:extLst>
          </c:dPt>
          <c:dPt>
            <c:idx val="5"/>
            <c:bubble3D val="0"/>
            <c:explosion val="21"/>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290-4967-AC05-D23BE3E4281C}"/>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D290-4967-AC05-D23BE3E4281C}"/>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D290-4967-AC05-D23BE3E4281C}"/>
              </c:ext>
            </c:extLst>
          </c:dPt>
          <c:dPt>
            <c:idx val="8"/>
            <c:bubble3D val="0"/>
            <c:extLst>
              <c:ext xmlns:c16="http://schemas.microsoft.com/office/drawing/2014/chart" uri="{C3380CC4-5D6E-409C-BE32-E72D297353CC}">
                <c16:uniqueId val="{00000010-D290-4967-AC05-D23BE3E4281C}"/>
              </c:ext>
            </c:extLst>
          </c:dPt>
          <c:dLbls>
            <c:dLbl>
              <c:idx val="0"/>
              <c:layout>
                <c:manualLayout>
                  <c:x val="-0.23330693663292087"/>
                  <c:y val="7.824726134585289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290-4967-AC05-D23BE3E4281C}"/>
                </c:ext>
              </c:extLst>
            </c:dLbl>
            <c:dLbl>
              <c:idx val="1"/>
              <c:layout>
                <c:manualLayout>
                  <c:x val="-0.13099650270394925"/>
                  <c:y val="-2.639661452120141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290-4967-AC05-D23BE3E4281C}"/>
                </c:ext>
              </c:extLst>
            </c:dLbl>
            <c:dLbl>
              <c:idx val="2"/>
              <c:layout>
                <c:manualLayout>
                  <c:x val="-1.3757780277465317E-3"/>
                  <c:y val="-0.2921977006395327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290-4967-AC05-D23BE3E4281C}"/>
                </c:ext>
              </c:extLst>
            </c:dLbl>
            <c:dLbl>
              <c:idx val="6"/>
              <c:layout>
                <c:manualLayout>
                  <c:x val="3.5101078623131035E-3"/>
                  <c:y val="8.20204463659514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290-4967-AC05-D23BE3E4281C}"/>
                </c:ext>
              </c:extLst>
            </c:dLbl>
            <c:dLbl>
              <c:idx val="7"/>
              <c:layout>
                <c:manualLayout>
                  <c:x val="-7.2695913010873636E-2"/>
                  <c:y val="-2.141032370953630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D290-4967-AC05-D23BE3E4281C}"/>
                </c:ext>
              </c:extLst>
            </c:dLbl>
            <c:dLbl>
              <c:idx val="8"/>
              <c:layout>
                <c:manualLayout>
                  <c:x val="-0.3846137041706717"/>
                  <c:y val="8.17245557496123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D290-4967-AC05-D23BE3E4281C}"/>
                </c:ext>
              </c:extLst>
            </c:dLbl>
            <c:spPr>
              <a:noFill/>
              <a:ln w="25400">
                <a:noFill/>
              </a:ln>
            </c:sp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f>[1]Information!$K$18:$K$26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[1]Information!$M$18:$M$26</c:f>
              <c:numCache>
                <c:formatCode>General</c:formatCode>
                <c:ptCount val="9"/>
                <c:pt idx="0">
                  <c:v>9.8039215686274508E-3</c:v>
                </c:pt>
                <c:pt idx="1">
                  <c:v>9.8039215686274508E-3</c:v>
                </c:pt>
                <c:pt idx="2">
                  <c:v>4.9019607843137254E-2</c:v>
                </c:pt>
                <c:pt idx="3">
                  <c:v>3.9215686274509803E-2</c:v>
                </c:pt>
                <c:pt idx="4">
                  <c:v>9.8039215686274508E-3</c:v>
                </c:pt>
                <c:pt idx="5">
                  <c:v>1.9607843137254902E-2</c:v>
                </c:pt>
                <c:pt idx="6">
                  <c:v>0.18627450980392157</c:v>
                </c:pt>
                <c:pt idx="7">
                  <c:v>0.36274509803921567</c:v>
                </c:pt>
                <c:pt idx="8">
                  <c:v>0.31372549019607843</c:v>
                </c:pt>
              </c:numCache>
            </c:numRef>
          </c:val>
          <c:extLst>
            <c:ext xmlns:c16="http://schemas.microsoft.com/office/drawing/2014/chart" uri="{C3380CC4-5D6E-409C-BE32-E72D297353CC}">
              <c16:uniqueId val="{00000011-D290-4967-AC05-D23BE3E4281C}"/>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noFill/>
    <a:ln w="9525">
      <a:solidFill>
        <a:schemeClr val="tx1"/>
      </a:solidFill>
    </a:ln>
  </c:spPr>
  <c:txPr>
    <a:bodyPr/>
    <a:lstStyle/>
    <a:p>
      <a:pPr>
        <a:defRPr sz="12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0.10440455388770649"/>
          <c:y val="6.2548835299962455E-2"/>
          <c:w val="0.87500022497187846"/>
          <c:h val="0.82190323554688405"/>
        </c:manualLayout>
      </c:layout>
      <c:pie3DChart>
        <c:varyColors val="1"/>
        <c:ser>
          <c:idx val="0"/>
          <c:order val="0"/>
          <c:spPr>
            <a:solidFill>
              <a:schemeClr val="accent3">
                <a:lumMod val="60000"/>
                <a:lumOff val="40000"/>
              </a:schemeClr>
            </a:solidFill>
          </c:spPr>
          <c:explosion val="17"/>
          <c:dPt>
            <c:idx val="0"/>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30F9-4631-8004-B4E95FF3D4E1}"/>
              </c:ext>
            </c:extLst>
          </c:dPt>
          <c:dPt>
            <c:idx val="1"/>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30F9-4631-8004-B4E95FF3D4E1}"/>
              </c:ext>
            </c:extLst>
          </c:dPt>
          <c:dPt>
            <c:idx val="2"/>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30F9-4631-8004-B4E95FF3D4E1}"/>
              </c:ext>
            </c:extLst>
          </c:dPt>
          <c:dPt>
            <c:idx val="3"/>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30F9-4631-8004-B4E95FF3D4E1}"/>
              </c:ext>
            </c:extLst>
          </c:dPt>
          <c:dLbls>
            <c:dLbl>
              <c:idx val="0"/>
              <c:layout>
                <c:manualLayout>
                  <c:x val="-1.4632112077781931E-2"/>
                  <c:y val="-0.15469156658500421"/>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F9-4631-8004-B4E95FF3D4E1}"/>
                </c:ext>
              </c:extLst>
            </c:dLbl>
            <c:dLbl>
              <c:idx val="1"/>
              <c:layout>
                <c:manualLayout>
                  <c:x val="-4.1616284540911666E-2"/>
                  <c:y val="-0.195694864455220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F9-4631-8004-B4E95FF3D4E1}"/>
                </c:ext>
              </c:extLst>
            </c:dLbl>
            <c:dLbl>
              <c:idx val="2"/>
              <c:layout>
                <c:manualLayout>
                  <c:x val="-5.8017353699167364E-2"/>
                  <c:y val="1.138457628531219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F9-4631-8004-B4E95FF3D4E1}"/>
                </c:ext>
              </c:extLst>
            </c:dLbl>
            <c:dLbl>
              <c:idx val="3"/>
              <c:layout>
                <c:manualLayout>
                  <c:x val="9.7538957630296214E-2"/>
                  <c:y val="-4.4257078484658445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0F9-4631-8004-B4E95FF3D4E1}"/>
                </c:ext>
              </c:extLst>
            </c:dLbl>
            <c:spPr>
              <a:noFill/>
              <a:ln w="25400">
                <a:noFill/>
              </a:ln>
            </c:sp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0 day - 7 days</c:v>
              </c:pt>
              <c:pt idx="1">
                <c:v>7 days - 14 days</c:v>
              </c:pt>
              <c:pt idx="2">
                <c:v>14 days - 30 days</c:v>
              </c:pt>
              <c:pt idx="3">
                <c:v>&gt; 30 days</c:v>
              </c:pt>
            </c:strLit>
          </c:cat>
          <c:val>
            <c:numRef>
              <c:f>[1]Information!$G$5:$J$5</c:f>
              <c:numCache>
                <c:formatCode>General</c:formatCode>
                <c:ptCount val="4"/>
                <c:pt idx="0">
                  <c:v>65</c:v>
                </c:pt>
                <c:pt idx="1">
                  <c:v>33</c:v>
                </c:pt>
                <c:pt idx="2">
                  <c:v>2</c:v>
                </c:pt>
                <c:pt idx="3">
                  <c:v>2</c:v>
                </c:pt>
              </c:numCache>
            </c:numRef>
          </c:val>
          <c:extLst>
            <c:ext xmlns:c16="http://schemas.microsoft.com/office/drawing/2014/chart" uri="{C3380CC4-5D6E-409C-BE32-E72D297353CC}">
              <c16:uniqueId val="{00000008-30F9-4631-8004-B4E95FF3D4E1}"/>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noFill/>
    <a:ln w="9525">
      <a:solidFill>
        <a:schemeClr val="tx1"/>
      </a:solidFill>
    </a:ln>
  </c:spPr>
  <c:txPr>
    <a:bodyPr/>
    <a:lstStyle/>
    <a:p>
      <a:pPr>
        <a:defRPr sz="12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6378896882494004E-2"/>
          <c:y val="0.19455273008906673"/>
          <c:w val="0.94724220623501199"/>
          <c:h val="0.70403407770749959"/>
        </c:manualLayout>
      </c:layout>
      <c:barChart>
        <c:barDir val="col"/>
        <c:grouping val="clustered"/>
        <c:varyColors val="0"/>
        <c:ser>
          <c:idx val="0"/>
          <c:order val="0"/>
          <c:tx>
            <c:strRef>
              <c:f>[1]Information!$FO$3</c:f>
              <c:strCache>
                <c:ptCount val="1"/>
                <c:pt idx="0">
                  <c:v>2016</c:v>
                </c:pt>
              </c:strCache>
            </c:strRef>
          </c:tx>
          <c:spPr>
            <a:ln w="28575" cap="rnd">
              <a:solidFill>
                <a:srgbClr val="00B0F0"/>
              </a:solidFill>
              <a:round/>
            </a:ln>
            <a:effectLst/>
          </c:spPr>
          <c:invertIfNegative val="0"/>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Ref>
              <c:f>[1]Information!$FO$4:$FO$15</c:f>
              <c:numCache>
                <c:formatCode>General</c:formatCode>
                <c:ptCount val="12"/>
                <c:pt idx="0">
                  <c:v>10</c:v>
                </c:pt>
                <c:pt idx="1">
                  <c:v>13</c:v>
                </c:pt>
                <c:pt idx="2">
                  <c:v>11</c:v>
                </c:pt>
                <c:pt idx="3">
                  <c:v>11</c:v>
                </c:pt>
                <c:pt idx="4">
                  <c:v>10</c:v>
                </c:pt>
                <c:pt idx="5">
                  <c:v>16</c:v>
                </c:pt>
                <c:pt idx="6">
                  <c:v>9</c:v>
                </c:pt>
                <c:pt idx="7">
                  <c:v>6</c:v>
                </c:pt>
                <c:pt idx="8">
                  <c:v>9</c:v>
                </c:pt>
                <c:pt idx="9">
                  <c:v>15</c:v>
                </c:pt>
                <c:pt idx="10">
                  <c:v>26</c:v>
                </c:pt>
                <c:pt idx="11">
                  <c:v>24</c:v>
                </c:pt>
              </c:numCache>
            </c:numRef>
          </c:val>
          <c:extLst>
            <c:ext xmlns:c16="http://schemas.microsoft.com/office/drawing/2014/chart" uri="{C3380CC4-5D6E-409C-BE32-E72D297353CC}">
              <c16:uniqueId val="{00000000-FD61-46D8-843A-3ED2DC358780}"/>
            </c:ext>
          </c:extLst>
        </c:ser>
        <c:ser>
          <c:idx val="1"/>
          <c:order val="1"/>
          <c:tx>
            <c:strRef>
              <c:f>[1]Information!$FP$3</c:f>
              <c:strCache>
                <c:ptCount val="1"/>
                <c:pt idx="0">
                  <c:v>2017</c:v>
                </c:pt>
              </c:strCache>
            </c:strRef>
          </c:tx>
          <c:spPr>
            <a:ln w="28575" cap="rnd">
              <a:solidFill>
                <a:schemeClr val="accent4">
                  <a:lumMod val="75000"/>
                </a:schemeClr>
              </a:solidFill>
              <a:round/>
            </a:ln>
            <a:effectLst/>
          </c:spPr>
          <c:invertIfNegative val="0"/>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Ref>
              <c:f>[1]Information!$FP$4:$FP$15</c:f>
              <c:numCache>
                <c:formatCode>General</c:formatCode>
                <c:ptCount val="12"/>
                <c:pt idx="0">
                  <c:v>4</c:v>
                </c:pt>
                <c:pt idx="1">
                  <c:v>7</c:v>
                </c:pt>
                <c:pt idx="2">
                  <c:v>10</c:v>
                </c:pt>
                <c:pt idx="3">
                  <c:v>11</c:v>
                </c:pt>
                <c:pt idx="4">
                  <c:v>3</c:v>
                </c:pt>
                <c:pt idx="5">
                  <c:v>3</c:v>
                </c:pt>
                <c:pt idx="6">
                  <c:v>9</c:v>
                </c:pt>
                <c:pt idx="7">
                  <c:v>4</c:v>
                </c:pt>
                <c:pt idx="8">
                  <c:v>2</c:v>
                </c:pt>
                <c:pt idx="9">
                  <c:v>9</c:v>
                </c:pt>
                <c:pt idx="10">
                  <c:v>10</c:v>
                </c:pt>
                <c:pt idx="11">
                  <c:v>4</c:v>
                </c:pt>
              </c:numCache>
            </c:numRef>
          </c:val>
          <c:extLst>
            <c:ext xmlns:c16="http://schemas.microsoft.com/office/drawing/2014/chart" uri="{C3380CC4-5D6E-409C-BE32-E72D297353CC}">
              <c16:uniqueId val="{00000001-FD61-46D8-843A-3ED2DC358780}"/>
            </c:ext>
          </c:extLst>
        </c:ser>
        <c:ser>
          <c:idx val="4"/>
          <c:order val="4"/>
          <c:tx>
            <c:strRef>
              <c:f>[1]Information!$FQ$20</c:f>
              <c:strCache>
                <c:ptCount val="1"/>
                <c:pt idx="0">
                  <c:v>2018</c:v>
                </c:pt>
              </c:strCache>
            </c:strRef>
          </c:tx>
          <c:spPr>
            <a:solidFill>
              <a:schemeClr val="accent6"/>
            </a:solidFill>
          </c:spPr>
          <c:invertIfNegative val="0"/>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Ref>
              <c:f>[1]Information!$FQ$21:$FQ$32</c:f>
              <c:numCache>
                <c:formatCode>General</c:formatCode>
                <c:ptCount val="12"/>
                <c:pt idx="0">
                  <c:v>4</c:v>
                </c:pt>
                <c:pt idx="1">
                  <c:v>10</c:v>
                </c:pt>
                <c:pt idx="2">
                  <c:v>5</c:v>
                </c:pt>
                <c:pt idx="3">
                  <c:v>2</c:v>
                </c:pt>
                <c:pt idx="4">
                  <c:v>4</c:v>
                </c:pt>
                <c:pt idx="5">
                  <c:v>3</c:v>
                </c:pt>
                <c:pt idx="6">
                  <c:v>1</c:v>
                </c:pt>
                <c:pt idx="7">
                  <c:v>0</c:v>
                </c:pt>
                <c:pt idx="8">
                  <c:v>0</c:v>
                </c:pt>
                <c:pt idx="9">
                  <c:v>0</c:v>
                </c:pt>
                <c:pt idx="10">
                  <c:v>0</c:v>
                </c:pt>
                <c:pt idx="11">
                  <c:v>0</c:v>
                </c:pt>
              </c:numCache>
            </c:numRef>
          </c:val>
          <c:extLst>
            <c:ext xmlns:c16="http://schemas.microsoft.com/office/drawing/2014/chart" uri="{C3380CC4-5D6E-409C-BE32-E72D297353CC}">
              <c16:uniqueId val="{00000002-FD61-46D8-843A-3ED2DC358780}"/>
            </c:ext>
          </c:extLst>
        </c:ser>
        <c:dLbls>
          <c:showLegendKey val="0"/>
          <c:showVal val="0"/>
          <c:showCatName val="0"/>
          <c:showSerName val="0"/>
          <c:showPercent val="0"/>
          <c:showBubbleSize val="0"/>
        </c:dLbls>
        <c:gapWidth val="150"/>
        <c:axId val="56890383"/>
        <c:axId val="1"/>
      </c:barChart>
      <c:lineChart>
        <c:grouping val="standard"/>
        <c:varyColors val="0"/>
        <c:ser>
          <c:idx val="2"/>
          <c:order val="2"/>
          <c:tx>
            <c:strRef>
              <c:f>[1]Information!$FS$36</c:f>
              <c:strCache>
                <c:ptCount val="1"/>
                <c:pt idx="0">
                  <c:v>Akumulasi 2016</c:v>
                </c:pt>
              </c:strCache>
            </c:strRef>
          </c:tx>
          <c:spPr>
            <a:ln>
              <a:solidFill>
                <a:srgbClr val="00B0F0"/>
              </a:solidFill>
            </a:ln>
          </c:spPr>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[1]Information!$FS$4:$FS$15</c:f>
              <c:numCache>
                <c:formatCode>General</c:formatCode>
                <c:ptCount val="12"/>
                <c:pt idx="0">
                  <c:v>10</c:v>
                </c:pt>
                <c:pt idx="1">
                  <c:v>23</c:v>
                </c:pt>
                <c:pt idx="2">
                  <c:v>34</c:v>
                </c:pt>
                <c:pt idx="3">
                  <c:v>45</c:v>
                </c:pt>
                <c:pt idx="4">
                  <c:v>55</c:v>
                </c:pt>
                <c:pt idx="5">
                  <c:v>71</c:v>
                </c:pt>
                <c:pt idx="6">
                  <c:v>80</c:v>
                </c:pt>
                <c:pt idx="7">
                  <c:v>86</c:v>
                </c:pt>
                <c:pt idx="8">
                  <c:v>95</c:v>
                </c:pt>
                <c:pt idx="9">
                  <c:v>110</c:v>
                </c:pt>
                <c:pt idx="10">
                  <c:v>136</c:v>
                </c:pt>
                <c:pt idx="11">
                  <c:v>160</c:v>
                </c:pt>
              </c:numCache>
            </c:numRef>
          </c:val>
          <c:smooth val="0"/>
          <c:extLst>
            <c:ext xmlns:c16="http://schemas.microsoft.com/office/drawing/2014/chart" uri="{C3380CC4-5D6E-409C-BE32-E72D297353CC}">
              <c16:uniqueId val="{00000003-FD61-46D8-843A-3ED2DC358780}"/>
            </c:ext>
          </c:extLst>
        </c:ser>
        <c:ser>
          <c:idx val="3"/>
          <c:order val="3"/>
          <c:tx>
            <c:strRef>
              <c:f>[1]Information!$FT$36</c:f>
              <c:strCache>
                <c:ptCount val="1"/>
                <c:pt idx="0">
                  <c:v>Akumulasi 2017</c:v>
                </c:pt>
              </c:strCache>
            </c:strRef>
          </c:tx>
          <c:spPr>
            <a:ln>
              <a:solidFill>
                <a:schemeClr val="accent4">
                  <a:lumMod val="75000"/>
                </a:schemeClr>
              </a:solidFill>
            </a:ln>
          </c:spPr>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[1]Information!$FT$4:$FT$15</c:f>
              <c:numCache>
                <c:formatCode>General</c:formatCode>
                <c:ptCount val="12"/>
                <c:pt idx="0">
                  <c:v>4</c:v>
                </c:pt>
                <c:pt idx="1">
                  <c:v>11</c:v>
                </c:pt>
                <c:pt idx="2">
                  <c:v>21</c:v>
                </c:pt>
                <c:pt idx="3">
                  <c:v>32</c:v>
                </c:pt>
                <c:pt idx="4">
                  <c:v>35</c:v>
                </c:pt>
                <c:pt idx="5">
                  <c:v>38</c:v>
                </c:pt>
                <c:pt idx="6">
                  <c:v>47</c:v>
                </c:pt>
                <c:pt idx="7">
                  <c:v>51</c:v>
                </c:pt>
                <c:pt idx="8">
                  <c:v>53</c:v>
                </c:pt>
                <c:pt idx="9">
                  <c:v>62</c:v>
                </c:pt>
                <c:pt idx="10">
                  <c:v>72</c:v>
                </c:pt>
                <c:pt idx="11">
                  <c:v>76</c:v>
                </c:pt>
              </c:numCache>
            </c:numRef>
          </c:val>
          <c:smooth val="0"/>
          <c:extLst>
            <c:ext xmlns:c16="http://schemas.microsoft.com/office/drawing/2014/chart" uri="{C3380CC4-5D6E-409C-BE32-E72D297353CC}">
              <c16:uniqueId val="{00000004-FD61-46D8-843A-3ED2DC358780}"/>
            </c:ext>
          </c:extLst>
        </c:ser>
        <c:ser>
          <c:idx val="5"/>
          <c:order val="5"/>
          <c:tx>
            <c:strRef>
              <c:f>[1]Information!$FU$20</c:f>
              <c:strCache>
                <c:ptCount val="1"/>
                <c:pt idx="0">
                  <c:v>Akumulasi 2018</c:v>
                </c:pt>
              </c:strCache>
            </c:strRef>
          </c:tx>
          <c:val>
            <c:numRef>
              <c:f>[1]Information!$FU$21:$FU$32</c:f>
              <c:numCache>
                <c:formatCode>General</c:formatCode>
                <c:ptCount val="12"/>
                <c:pt idx="0">
                  <c:v>4</c:v>
                </c:pt>
                <c:pt idx="1">
                  <c:v>14</c:v>
                </c:pt>
                <c:pt idx="2">
                  <c:v>19</c:v>
                </c:pt>
                <c:pt idx="3">
                  <c:v>21</c:v>
                </c:pt>
                <c:pt idx="4">
                  <c:v>25</c:v>
                </c:pt>
                <c:pt idx="5">
                  <c:v>28</c:v>
                </c:pt>
                <c:pt idx="6">
                  <c:v>29</c:v>
                </c:pt>
                <c:pt idx="7">
                  <c:v>29</c:v>
                </c:pt>
                <c:pt idx="8">
                  <c:v>29</c:v>
                </c:pt>
                <c:pt idx="9">
                  <c:v>29</c:v>
                </c:pt>
                <c:pt idx="10">
                  <c:v>29</c:v>
                </c:pt>
                <c:pt idx="11">
                  <c:v>29</c:v>
                </c:pt>
              </c:numCache>
            </c:numRef>
          </c:val>
          <c:smooth val="0"/>
          <c:extLst>
            <c:ext xmlns:c16="http://schemas.microsoft.com/office/drawing/2014/chart" uri="{C3380CC4-5D6E-409C-BE32-E72D297353CC}">
              <c16:uniqueId val="{00000005-FD61-46D8-843A-3ED2DC358780}"/>
            </c:ext>
          </c:extLst>
        </c:ser>
        <c:dLbls>
          <c:showLegendKey val="0"/>
          <c:showVal val="0"/>
          <c:showCatName val="0"/>
          <c:showSerName val="0"/>
          <c:showPercent val="0"/>
          <c:showBubbleSize val="0"/>
        </c:dLbls>
        <c:marker val="1"/>
        <c:smooth val="0"/>
        <c:axId val="56890383"/>
        <c:axId val="1"/>
      </c:lineChart>
      <c:catAx>
        <c:axId val="5689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0"/>
        <c:lblAlgn val="ctr"/>
        <c:lblOffset val="1"/>
        <c:noMultiLvlLbl val="0"/>
      </c:catAx>
      <c:valAx>
        <c:axId val="1"/>
        <c:scaling>
          <c:orientation val="minMax"/>
        </c:scaling>
        <c:delete val="1"/>
        <c:axPos val="l"/>
        <c:numFmt formatCode="General" sourceLinked="1"/>
        <c:majorTickMark val="out"/>
        <c:minorTickMark val="none"/>
        <c:tickLblPos val="nextTo"/>
        <c:crossAx val="56890383"/>
        <c:crosses val="autoZero"/>
        <c:crossBetween val="between"/>
      </c:valAx>
      <c:spPr>
        <a:noFill/>
        <a:ln w="25400">
          <a:noFill/>
        </a:ln>
      </c:spPr>
    </c:plotArea>
    <c:legend>
      <c:legendPos val="t"/>
      <c:layout>
        <c:manualLayout>
          <c:xMode val="edge"/>
          <c:yMode val="edge"/>
          <c:x val="2.529579968638106E-3"/>
          <c:y val="0"/>
          <c:w val="0.94754630910752768"/>
          <c:h val="0.17706639129125254"/>
        </c:manualLayout>
      </c:layout>
      <c:overlay val="0"/>
      <c:spPr>
        <a:noFill/>
        <a:ln w="25400">
          <a:noFill/>
        </a:ln>
      </c:spPr>
      <c:txPr>
        <a:bodyPr/>
        <a:lstStyle/>
        <a:p>
          <a:pPr>
            <a:defRPr sz="120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[1]Information!$FO$36</c:f>
              <c:strCache>
                <c:ptCount val="1"/>
                <c:pt idx="0">
                  <c:v>2016</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[1]Information!$AF$21:$AF$32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[1]Information!$FS$37:$FS$48</c:f>
              <c:numCache>
                <c:formatCode>General</c:formatCode>
                <c:ptCount val="12"/>
                <c:pt idx="0">
                  <c:v>9</c:v>
                </c:pt>
                <c:pt idx="1">
                  <c:v>21</c:v>
                </c:pt>
                <c:pt idx="2">
                  <c:v>29</c:v>
                </c:pt>
                <c:pt idx="3">
                  <c:v>40</c:v>
                </c:pt>
                <c:pt idx="4">
                  <c:v>48</c:v>
                </c:pt>
                <c:pt idx="5">
                  <c:v>81</c:v>
                </c:pt>
                <c:pt idx="6">
                  <c:v>90</c:v>
                </c:pt>
                <c:pt idx="7">
                  <c:v>97</c:v>
                </c:pt>
                <c:pt idx="8">
                  <c:v>113</c:v>
                </c:pt>
                <c:pt idx="9">
                  <c:v>120</c:v>
                </c:pt>
                <c:pt idx="10">
                  <c:v>124</c:v>
                </c:pt>
                <c:pt idx="11">
                  <c:v>136</c:v>
                </c:pt>
              </c:numCache>
            </c:numRef>
          </c:yVal>
          <c:smooth val="0"/>
          <c:extLst>
            <c:ext xmlns:c16="http://schemas.microsoft.com/office/drawing/2014/chart" uri="{C3380CC4-5D6E-409C-BE32-E72D297353CC}">
              <c16:uniqueId val="{00000000-C827-47CC-ADA1-CA50555B9307}"/>
            </c:ext>
          </c:extLst>
        </c:ser>
        <c:ser>
          <c:idx val="1"/>
          <c:order val="1"/>
          <c:tx>
            <c:strRef>
              <c:f>[1]Information!$FP$36</c:f>
              <c:strCache>
                <c:ptCount val="1"/>
                <c:pt idx="0">
                  <c:v>2017</c:v>
                </c:pt>
              </c:strCache>
            </c:strRef>
          </c:tx>
          <c:spPr>
            <a:ln w="28575" cap="rnd">
              <a:solidFill>
                <a:schemeClr val="accent2"/>
              </a:solidFill>
              <a:round/>
            </a:ln>
            <a:effectLst/>
          </c:spPr>
          <c:marker>
            <c:symbol val="circle"/>
            <c:size val="5"/>
            <c:spPr>
              <a:solidFill>
                <a:schemeClr val="tx1"/>
              </a:solidFill>
              <a:ln w="9525">
                <a:solidFill>
                  <a:srgbClr val="92D050"/>
                </a:solidFill>
              </a:ln>
              <a:effectLst/>
            </c:spPr>
          </c:marker>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[1]Information!$AF$21:$AF$32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[1]Information!$FT$37:$FT$48</c:f>
              <c:numCache>
                <c:formatCode>General</c:formatCode>
                <c:ptCount val="12"/>
                <c:pt idx="0">
                  <c:v>13</c:v>
                </c:pt>
                <c:pt idx="1">
                  <c:v>17</c:v>
                </c:pt>
                <c:pt idx="2">
                  <c:v>41</c:v>
                </c:pt>
                <c:pt idx="3">
                  <c:v>56</c:v>
                </c:pt>
                <c:pt idx="4">
                  <c:v>67</c:v>
                </c:pt>
                <c:pt idx="5">
                  <c:v>86</c:v>
                </c:pt>
                <c:pt idx="6">
                  <c:v>111</c:v>
                </c:pt>
                <c:pt idx="7">
                  <c:v>121</c:v>
                </c:pt>
                <c:pt idx="8">
                  <c:v>128</c:v>
                </c:pt>
                <c:pt idx="9">
                  <c:v>144</c:v>
                </c:pt>
                <c:pt idx="10">
                  <c:v>156</c:v>
                </c:pt>
                <c:pt idx="11">
                  <c:v>171</c:v>
                </c:pt>
              </c:numCache>
            </c:numRef>
          </c:yVal>
          <c:smooth val="0"/>
          <c:extLst>
            <c:ext xmlns:c16="http://schemas.microsoft.com/office/drawing/2014/chart" uri="{C3380CC4-5D6E-409C-BE32-E72D297353CC}">
              <c16:uniqueId val="{00000001-C827-47CC-ADA1-CA50555B9307}"/>
            </c:ext>
          </c:extLst>
        </c:ser>
        <c:ser>
          <c:idx val="2"/>
          <c:order val="2"/>
          <c:tx>
            <c:strRef>
              <c:f>[1]Information!$FQ$36</c:f>
              <c:strCache>
                <c:ptCount val="1"/>
                <c:pt idx="0">
                  <c:v>2018</c:v>
                </c:pt>
              </c:strCache>
            </c:strRef>
          </c:tx>
          <c:spPr>
            <a:ln>
              <a:solidFill>
                <a:schemeClr val="accent6"/>
              </a:solidFill>
            </a:ln>
          </c:spPr>
          <c:xVal>
            <c:numRef>
              <c:f>[1]Information!$FN$37:$FN$48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[1]Information!$FU$37:$FU$48</c:f>
              <c:numCache>
                <c:formatCode>General</c:formatCode>
                <c:ptCount val="12"/>
                <c:pt idx="0">
                  <c:v>6</c:v>
                </c:pt>
                <c:pt idx="1">
                  <c:v>9</c:v>
                </c:pt>
                <c:pt idx="2">
                  <c:v>12</c:v>
                </c:pt>
                <c:pt idx="3">
                  <c:v>17</c:v>
                </c:pt>
                <c:pt idx="4">
                  <c:v>27</c:v>
                </c:pt>
                <c:pt idx="5">
                  <c:v>30</c:v>
                </c:pt>
                <c:pt idx="6">
                  <c:v>38</c:v>
                </c:pt>
                <c:pt idx="7">
                  <c:v>38</c:v>
                </c:pt>
                <c:pt idx="8">
                  <c:v>38</c:v>
                </c:pt>
                <c:pt idx="9">
                  <c:v>38</c:v>
                </c:pt>
                <c:pt idx="10">
                  <c:v>38</c:v>
                </c:pt>
                <c:pt idx="11">
                  <c:v>38</c:v>
                </c:pt>
              </c:numCache>
            </c:numRef>
          </c:yVal>
          <c:smooth val="0"/>
          <c:extLst>
            <c:ext xmlns:c16="http://schemas.microsoft.com/office/drawing/2014/chart" uri="{C3380CC4-5D6E-409C-BE32-E72D297353CC}">
              <c16:uniqueId val="{00000002-C827-47CC-ADA1-CA50555B9307}"/>
            </c:ext>
          </c:extLst>
        </c:ser>
        <c:dLbls>
          <c:showLegendKey val="0"/>
          <c:showVal val="0"/>
          <c:showCatName val="0"/>
          <c:showSerName val="0"/>
          <c:showPercent val="0"/>
          <c:showBubbleSize val="0"/>
        </c:dLbls>
        <c:axId val="56856687"/>
        <c:axId val="1"/>
      </c:scatterChart>
      <c:valAx>
        <c:axId val="56856687"/>
        <c:scaling>
          <c:orientation val="minMax"/>
          <c:max val="12"/>
          <c:min val="1"/>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crossBetween val="midCat"/>
        <c:majorUnit val="1"/>
      </c:valAx>
      <c:valAx>
        <c:axId val="1"/>
        <c:scaling>
          <c:orientation val="minMax"/>
        </c:scaling>
        <c:delete val="1"/>
        <c:axPos val="l"/>
        <c:numFmt formatCode="General" sourceLinked="1"/>
        <c:majorTickMark val="out"/>
        <c:minorTickMark val="none"/>
        <c:tickLblPos val="nextTo"/>
        <c:crossAx val="56856687"/>
        <c:crosses val="autoZero"/>
        <c:crossBetween val="midCat"/>
      </c:valAx>
      <c:spPr>
        <a:noFill/>
        <a:ln w="25400">
          <a:noFill/>
        </a:ln>
      </c:spPr>
    </c:plotArea>
    <c:legend>
      <c:legendPos val="t"/>
      <c:overlay val="0"/>
      <c:spPr>
        <a:noFill/>
        <a:ln w="25400">
          <a:noFill/>
        </a:ln>
      </c:spPr>
      <c:txPr>
        <a:bodyPr/>
        <a:lstStyle/>
        <a:p>
          <a:pPr>
            <a:defRPr sz="120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7.8519288862477096E-2"/>
          <c:y val="3.7483266398929051E-2"/>
          <c:w val="0.89003417025701981"/>
          <c:h val="0.7186393869441019"/>
        </c:manualLayout>
      </c:layout>
      <c:bar3DChart>
        <c:barDir val="col"/>
        <c:grouping val="stacked"/>
        <c:varyColors val="0"/>
        <c:ser>
          <c:idx val="0"/>
          <c:order val="0"/>
          <c:tx>
            <c:strRef>
              <c:f>[2]Information!$V$2</c:f>
              <c:strCache>
                <c:ptCount val="1"/>
                <c:pt idx="0">
                  <c:v>Settled</c:v>
                </c:pt>
              </c:strCache>
            </c:strRef>
          </c:tx>
          <c:spPr>
            <a:solidFill>
              <a:srgbClr val="92D050"/>
            </a:solidFill>
            <a:ln w="25400">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[2]Information!$V$9:$V$17</c:f>
              <c:numCache>
                <c:formatCode>General</c:formatCode>
                <c:ptCount val="9"/>
                <c:pt idx="0">
                  <c:v>33</c:v>
                </c:pt>
                <c:pt idx="1">
                  <c:v>28</c:v>
                </c:pt>
                <c:pt idx="2">
                  <c:v>32</c:v>
                </c:pt>
                <c:pt idx="3">
                  <c:v>51</c:v>
                </c:pt>
                <c:pt idx="4">
                  <c:v>48</c:v>
                </c:pt>
                <c:pt idx="5">
                  <c:v>35</c:v>
                </c:pt>
                <c:pt idx="6">
                  <c:v>32</c:v>
                </c:pt>
                <c:pt idx="7">
                  <c:v>17</c:v>
                </c:pt>
                <c:pt idx="8">
                  <c:v>2</c:v>
                </c:pt>
              </c:numCache>
            </c:numRef>
          </c:val>
          <c:extLst>
            <c:ext xmlns:c16="http://schemas.microsoft.com/office/drawing/2014/chart" uri="{C3380CC4-5D6E-409C-BE32-E72D297353CC}">
              <c16:uniqueId val="{00000000-5114-43CA-8BC3-CCA61011AE2F}"/>
            </c:ext>
          </c:extLst>
        </c:ser>
        <c:ser>
          <c:idx val="1"/>
          <c:order val="1"/>
          <c:tx>
            <c:strRef>
              <c:f>[2]Information!$W$2</c:f>
              <c:strCache>
                <c:ptCount val="1"/>
                <c:pt idx="0">
                  <c:v>Outstanding</c:v>
                </c:pt>
              </c:strCache>
            </c:strRef>
          </c:tx>
          <c:spPr>
            <a:solidFill>
              <a:schemeClr val="bg2">
                <a:lumMod val="75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[2]Information!$W$9:$W$17</c:f>
              <c:numCache>
                <c:formatCode>General</c:formatCode>
                <c:ptCount val="9"/>
                <c:pt idx="0">
                  <c:v>0</c:v>
                </c:pt>
                <c:pt idx="1">
                  <c:v>5</c:v>
                </c:pt>
                <c:pt idx="2">
                  <c:v>4</c:v>
                </c:pt>
                <c:pt idx="3">
                  <c:v>1</c:v>
                </c:pt>
                <c:pt idx="4">
                  <c:v>0</c:v>
                </c:pt>
                <c:pt idx="5">
                  <c:v>0</c:v>
                </c:pt>
                <c:pt idx="6">
                  <c:v>5</c:v>
                </c:pt>
                <c:pt idx="7">
                  <c:v>3</c:v>
                </c:pt>
                <c:pt idx="8">
                  <c:v>9</c:v>
                </c:pt>
              </c:numCache>
            </c:numRef>
          </c:val>
          <c:extLst>
            <c:ext xmlns:c16="http://schemas.microsoft.com/office/drawing/2014/chart" uri="{C3380CC4-5D6E-409C-BE32-E72D297353CC}">
              <c16:uniqueId val="{00000001-5114-43CA-8BC3-CCA61011AE2F}"/>
            </c:ext>
          </c:extLst>
        </c:ser>
        <c:dLbls>
          <c:showLegendKey val="0"/>
          <c:showVal val="0"/>
          <c:showCatName val="0"/>
          <c:showSerName val="0"/>
          <c:showPercent val="0"/>
          <c:showBubbleSize val="0"/>
        </c:dLbls>
        <c:gapWidth val="75"/>
        <c:shape val="box"/>
        <c:axId val="590817400"/>
        <c:axId val="1"/>
        <c:axId val="0"/>
      </c:bar3DChart>
      <c:catAx>
        <c:axId val="59081740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590817400"/>
        <c:crosses val="autoZero"/>
        <c:crossBetween val="between"/>
      </c:valAx>
      <c:spPr>
        <a:noFill/>
        <a:ln w="25400">
          <a:noFill/>
        </a:ln>
      </c:spPr>
    </c:plotArea>
    <c:legend>
      <c:legendPos val="b"/>
      <c:overlay val="0"/>
      <c:spPr>
        <a:noFill/>
        <a:ln w="25400">
          <a:noFill/>
        </a:ln>
      </c:spPr>
      <c:txPr>
        <a:bodyPr/>
        <a:lstStyle/>
        <a:p>
          <a:pPr>
            <a:defRPr sz="1200" b="0" i="0" u="none" strike="noStrike" baseline="0">
              <a:solidFill>
                <a:srgbClr val="333333"/>
              </a:solidFill>
              <a:latin typeface="Calibri"/>
              <a:ea typeface="Calibri"/>
              <a:cs typeface="Calibri"/>
            </a:defRPr>
          </a:pPr>
          <a:endParaRPr lang="en-US"/>
        </a:p>
      </c:txPr>
    </c:legend>
    <c:plotVisOnly val="1"/>
    <c:dispBlanksAs val="gap"/>
    <c:showDLblsOverMax val="0"/>
  </c:chart>
  <c:spPr>
    <a:noFill/>
    <a:ln w="9525">
      <a:solidFill>
        <a:schemeClr val="tx1"/>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stacked"/>
        <c:varyColors val="0"/>
        <c:ser>
          <c:idx val="0"/>
          <c:order val="0"/>
          <c:tx>
            <c:v>Polis ACA Limit Cabang</c:v>
          </c:tx>
          <c:spPr>
            <a:solidFill>
              <a:schemeClr val="accent1">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[2]Information!$Y$9:$Y$17</c:f>
              <c:numCache>
                <c:formatCode>General</c:formatCode>
                <c:ptCount val="9"/>
                <c:pt idx="0">
                  <c:v>6</c:v>
                </c:pt>
                <c:pt idx="1">
                  <c:v>10</c:v>
                </c:pt>
                <c:pt idx="2">
                  <c:v>16</c:v>
                </c:pt>
                <c:pt idx="3">
                  <c:v>14</c:v>
                </c:pt>
                <c:pt idx="4">
                  <c:v>24</c:v>
                </c:pt>
                <c:pt idx="5">
                  <c:v>17</c:v>
                </c:pt>
                <c:pt idx="6">
                  <c:v>12</c:v>
                </c:pt>
                <c:pt idx="7">
                  <c:v>4</c:v>
                </c:pt>
                <c:pt idx="8">
                  <c:v>1</c:v>
                </c:pt>
              </c:numCache>
            </c:numRef>
          </c:val>
          <c:extLst>
            <c:ext xmlns:c16="http://schemas.microsoft.com/office/drawing/2014/chart" uri="{C3380CC4-5D6E-409C-BE32-E72D297353CC}">
              <c16:uniqueId val="{00000000-91D6-4AB2-A722-2F1321D23844}"/>
            </c:ext>
          </c:extLst>
        </c:ser>
        <c:ser>
          <c:idx val="2"/>
          <c:order val="1"/>
          <c:tx>
            <c:v>Polis Inward Limit Cabang</c:v>
          </c:tx>
          <c:spPr>
            <a:solidFill>
              <a:schemeClr val="accent1">
                <a:lumMod val="20000"/>
                <a:lumOff val="8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[2]Information!$AA$9:$AA$17</c:f>
              <c:numCache>
                <c:formatCode>General</c:formatCode>
                <c:ptCount val="9"/>
                <c:pt idx="0">
                  <c:v>8</c:v>
                </c:pt>
                <c:pt idx="1">
                  <c:v>2</c:v>
                </c:pt>
                <c:pt idx="2">
                  <c:v>6</c:v>
                </c:pt>
                <c:pt idx="3">
                  <c:v>2</c:v>
                </c:pt>
                <c:pt idx="4">
                  <c:v>0</c:v>
                </c:pt>
                <c:pt idx="5">
                  <c:v>1</c:v>
                </c:pt>
                <c:pt idx="6">
                  <c:v>10</c:v>
                </c:pt>
                <c:pt idx="7">
                  <c:v>5</c:v>
                </c:pt>
                <c:pt idx="8">
                  <c:v>2</c:v>
                </c:pt>
              </c:numCache>
            </c:numRef>
          </c:val>
          <c:extLst>
            <c:ext xmlns:c16="http://schemas.microsoft.com/office/drawing/2014/chart" uri="{C3380CC4-5D6E-409C-BE32-E72D297353CC}">
              <c16:uniqueId val="{00000001-91D6-4AB2-A722-2F1321D23844}"/>
            </c:ext>
          </c:extLst>
        </c:ser>
        <c:ser>
          <c:idx val="1"/>
          <c:order val="2"/>
          <c:tx>
            <c:v>Polis ACA Limit HO</c:v>
          </c:tx>
          <c:spPr>
            <a:solidFill>
              <a:schemeClr val="accent6">
                <a:lumMod val="40000"/>
                <a:lumOff val="6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[2]Information!$Z$9:$Z$17</c:f>
              <c:numCache>
                <c:formatCode>General</c:formatCode>
                <c:ptCount val="9"/>
                <c:pt idx="0">
                  <c:v>8</c:v>
                </c:pt>
                <c:pt idx="1">
                  <c:v>9</c:v>
                </c:pt>
                <c:pt idx="2">
                  <c:v>11</c:v>
                </c:pt>
                <c:pt idx="3">
                  <c:v>29</c:v>
                </c:pt>
                <c:pt idx="4">
                  <c:v>23</c:v>
                </c:pt>
                <c:pt idx="5">
                  <c:v>14</c:v>
                </c:pt>
                <c:pt idx="6">
                  <c:v>11</c:v>
                </c:pt>
                <c:pt idx="7">
                  <c:v>10</c:v>
                </c:pt>
                <c:pt idx="8">
                  <c:v>7</c:v>
                </c:pt>
              </c:numCache>
            </c:numRef>
          </c:val>
          <c:extLst>
            <c:ext xmlns:c16="http://schemas.microsoft.com/office/drawing/2014/chart" uri="{C3380CC4-5D6E-409C-BE32-E72D297353CC}">
              <c16:uniqueId val="{00000002-91D6-4AB2-A722-2F1321D23844}"/>
            </c:ext>
          </c:extLst>
        </c:ser>
        <c:ser>
          <c:idx val="3"/>
          <c:order val="3"/>
          <c:tx>
            <c:v>Polis Inward Limit HO</c:v>
          </c:tx>
          <c:spPr>
            <a:solidFill>
              <a:schemeClr val="accent6">
                <a:lumMod val="20000"/>
                <a:lumOff val="80000"/>
              </a:schemeClr>
            </a:solidFill>
            <a:ln w="25400">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[2]Information!$AB$9:$AB$17</c:f>
              <c:numCache>
                <c:formatCode>General</c:formatCode>
                <c:ptCount val="9"/>
                <c:pt idx="0">
                  <c:v>11</c:v>
                </c:pt>
                <c:pt idx="1">
                  <c:v>12</c:v>
                </c:pt>
                <c:pt idx="2">
                  <c:v>3</c:v>
                </c:pt>
                <c:pt idx="3">
                  <c:v>7</c:v>
                </c:pt>
                <c:pt idx="4">
                  <c:v>1</c:v>
                </c:pt>
                <c:pt idx="5">
                  <c:v>3</c:v>
                </c:pt>
                <c:pt idx="6">
                  <c:v>4</c:v>
                </c:pt>
                <c:pt idx="7">
                  <c:v>1</c:v>
                </c:pt>
                <c:pt idx="8">
                  <c:v>1</c:v>
                </c:pt>
              </c:numCache>
            </c:numRef>
          </c:val>
          <c:extLst>
            <c:ext xmlns:c16="http://schemas.microsoft.com/office/drawing/2014/chart" uri="{C3380CC4-5D6E-409C-BE32-E72D297353CC}">
              <c16:uniqueId val="{00000003-91D6-4AB2-A722-2F1321D23844}"/>
            </c:ext>
          </c:extLst>
        </c:ser>
        <c:dLbls>
          <c:showLegendKey val="0"/>
          <c:showVal val="0"/>
          <c:showCatName val="0"/>
          <c:showSerName val="0"/>
          <c:showPercent val="0"/>
          <c:showBubbleSize val="0"/>
        </c:dLbls>
        <c:gapWidth val="75"/>
        <c:shape val="box"/>
        <c:axId val="590823632"/>
        <c:axId val="1"/>
        <c:axId val="0"/>
      </c:bar3DChart>
      <c:catAx>
        <c:axId val="5908236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590823632"/>
        <c:crosses val="autoZero"/>
        <c:crossBetween val="between"/>
      </c:valAx>
      <c:spPr>
        <a:noFill/>
        <a:ln w="25400">
          <a:noFill/>
        </a:ln>
      </c:spPr>
    </c:plotArea>
    <c:legend>
      <c:legendPos val="b"/>
      <c:overlay val="0"/>
      <c:spPr>
        <a:noFill/>
        <a:ln w="25400">
          <a:noFill/>
        </a:ln>
      </c:spPr>
      <c:txPr>
        <a:bodyPr/>
        <a:lstStyle/>
        <a:p>
          <a:pPr>
            <a:defRPr sz="900" b="0" i="0" u="none" strike="noStrike" baseline="0">
              <a:solidFill>
                <a:srgbClr val="333333"/>
              </a:solidFill>
              <a:latin typeface="Calibri"/>
              <a:ea typeface="Calibri"/>
              <a:cs typeface="Calibri"/>
            </a:defRPr>
          </a:pPr>
          <a:endParaRPr lang="en-US"/>
        </a:p>
      </c:txPr>
    </c:legend>
    <c:plotVisOnly val="1"/>
    <c:dispBlanksAs val="gap"/>
    <c:showDLblsOverMax val="0"/>
  </c:chart>
  <c:spPr>
    <a:noFill/>
    <a:ln w="9525">
      <a:solidFill>
        <a:schemeClr val="tx1"/>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0.13869036370453694"/>
          <c:y val="0.19473113381488472"/>
          <c:w val="0.79119070116235468"/>
          <c:h val="0.75378842107546473"/>
        </c:manualLayout>
      </c:layout>
      <c:pie3DChart>
        <c:varyColors val="1"/>
        <c:ser>
          <c:idx val="0"/>
          <c:order val="0"/>
          <c:explosion val="26"/>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56D-4533-9C9D-AE75EBE75F1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56D-4533-9C9D-AE75EBE75F1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56D-4533-9C9D-AE75EBE75F1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56D-4533-9C9D-AE75EBE75F1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56D-4533-9C9D-AE75EBE75F1B}"/>
              </c:ext>
            </c:extLst>
          </c:dPt>
          <c:dPt>
            <c:idx val="5"/>
            <c:bubble3D val="0"/>
            <c:explosion val="21"/>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E56D-4533-9C9D-AE75EBE75F1B}"/>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E56D-4533-9C9D-AE75EBE75F1B}"/>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E56D-4533-9C9D-AE75EBE75F1B}"/>
              </c:ext>
            </c:extLst>
          </c:dPt>
          <c:dPt>
            <c:idx val="8"/>
            <c:bubble3D val="0"/>
            <c:extLst>
              <c:ext xmlns:c16="http://schemas.microsoft.com/office/drawing/2014/chart" uri="{C3380CC4-5D6E-409C-BE32-E72D297353CC}">
                <c16:uniqueId val="{00000010-E56D-4533-9C9D-AE75EBE75F1B}"/>
              </c:ext>
            </c:extLst>
          </c:dPt>
          <c:dLbls>
            <c:dLbl>
              <c:idx val="0"/>
              <c:layout>
                <c:manualLayout>
                  <c:x val="8.9153105861767279E-3"/>
                  <c:y val="-2.798750518150056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56D-4533-9C9D-AE75EBE75F1B}"/>
                </c:ext>
              </c:extLst>
            </c:dLbl>
            <c:dLbl>
              <c:idx val="1"/>
              <c:layout>
                <c:manualLayout>
                  <c:x val="2.5455418072740908E-2"/>
                  <c:y val="1.0661343388414476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56D-4533-9C9D-AE75EBE75F1B}"/>
                </c:ext>
              </c:extLst>
            </c:dLbl>
            <c:dLbl>
              <c:idx val="2"/>
              <c:layout>
                <c:manualLayout>
                  <c:x val="-1.3757780277465317E-3"/>
                  <c:y val="-0.2921977006395327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56D-4533-9C9D-AE75EBE75F1B}"/>
                </c:ext>
              </c:extLst>
            </c:dLbl>
            <c:dLbl>
              <c:idx val="3"/>
              <c:layout>
                <c:manualLayout>
                  <c:x val="0.21996299212598425"/>
                  <c:y val="-0.2533140454618514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56D-4533-9C9D-AE75EBE75F1B}"/>
                </c:ext>
              </c:extLst>
            </c:dLbl>
            <c:dLbl>
              <c:idx val="4"/>
              <c:layout>
                <c:manualLayout>
                  <c:x val="0.23092668416447945"/>
                  <c:y val="-7.08952646019620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E56D-4533-9C9D-AE75EBE75F1B}"/>
                </c:ext>
              </c:extLst>
            </c:dLbl>
            <c:dLbl>
              <c:idx val="5"/>
              <c:layout>
                <c:manualLayout>
                  <c:x val="0.13173088363954488"/>
                  <c:y val="-2.6281134826169469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E56D-4533-9C9D-AE75EBE75F1B}"/>
                </c:ext>
              </c:extLst>
            </c:dLbl>
            <c:dLbl>
              <c:idx val="6"/>
              <c:layout>
                <c:manualLayout>
                  <c:x val="-4.0296362954630814E-2"/>
                  <c:y val="8.202034663022474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E56D-4533-9C9D-AE75EBE75F1B}"/>
                </c:ext>
              </c:extLst>
            </c:dLbl>
            <c:dLbl>
              <c:idx val="7"/>
              <c:layout>
                <c:manualLayout>
                  <c:x val="-7.2695913010873636E-2"/>
                  <c:y val="-2.141032370953630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E56D-4533-9C9D-AE75EBE75F1B}"/>
                </c:ext>
              </c:extLst>
            </c:dLbl>
            <c:dLbl>
              <c:idx val="8"/>
              <c:layout>
                <c:manualLayout>
                  <c:x val="-0.23206439195100612"/>
                  <c:y val="-1.511588232142504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E56D-4533-9C9D-AE75EBE75F1B}"/>
                </c:ext>
              </c:extLst>
            </c:dLbl>
            <c:spPr>
              <a:noFill/>
              <a:ln w="25400">
                <a:noFill/>
              </a:ln>
            </c:sp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f>[2]Information!$K$18:$K$26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[2]Information!$M$18:$M$26</c:f>
              <c:numCache>
                <c:formatCode>General</c:formatCode>
                <c:ptCount val="9"/>
                <c:pt idx="0">
                  <c:v>0</c:v>
                </c:pt>
                <c:pt idx="1">
                  <c:v>0.17857142857142858</c:v>
                </c:pt>
                <c:pt idx="2">
                  <c:v>0.17857142857142858</c:v>
                </c:pt>
                <c:pt idx="3">
                  <c:v>3.5714285714285712E-2</c:v>
                </c:pt>
                <c:pt idx="4">
                  <c:v>0</c:v>
                </c:pt>
                <c:pt idx="5">
                  <c:v>0</c:v>
                </c:pt>
                <c:pt idx="6">
                  <c:v>0.17857142857142858</c:v>
                </c:pt>
                <c:pt idx="7">
                  <c:v>7.1428571428571425E-2</c:v>
                </c:pt>
                <c:pt idx="8">
                  <c:v>0.35714285714285715</c:v>
                </c:pt>
              </c:numCache>
            </c:numRef>
          </c:val>
          <c:extLst>
            <c:ext xmlns:c16="http://schemas.microsoft.com/office/drawing/2014/chart" uri="{C3380CC4-5D6E-409C-BE32-E72D297353CC}">
              <c16:uniqueId val="{00000011-E56D-4533-9C9D-AE75EBE75F1B}"/>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noFill/>
    <a:ln w="9525">
      <a:solidFill>
        <a:schemeClr val="tx1"/>
      </a:solidFill>
    </a:ln>
  </c:spPr>
  <c:txPr>
    <a:bodyPr/>
    <a:lstStyle/>
    <a:p>
      <a:pPr>
        <a:defRPr sz="12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stacked"/>
        <c:varyColors val="0"/>
        <c:ser>
          <c:idx val="0"/>
          <c:order val="0"/>
          <c:tx>
            <c:strRef>
              <c:f>[2]Information!$G$3</c:f>
              <c:strCache>
                <c:ptCount val="1"/>
                <c:pt idx="0">
                  <c:v>0 Day - 7 Days</c:v>
                </c:pt>
              </c:strCache>
            </c:strRef>
          </c:tx>
          <c:spPr>
            <a:solidFill>
              <a:schemeClr val="accent3">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[2]Information!$G$18:$G$26</c:f>
              <c:numCache>
                <c:formatCode>General</c:formatCode>
                <c:ptCount val="9"/>
                <c:pt idx="0">
                  <c:v>0</c:v>
                </c:pt>
                <c:pt idx="1">
                  <c:v>1</c:v>
                </c:pt>
                <c:pt idx="2">
                  <c:v>1</c:v>
                </c:pt>
                <c:pt idx="3">
                  <c:v>0</c:v>
                </c:pt>
                <c:pt idx="4">
                  <c:v>0</c:v>
                </c:pt>
                <c:pt idx="5">
                  <c:v>0</c:v>
                </c:pt>
                <c:pt idx="6">
                  <c:v>0</c:v>
                </c:pt>
                <c:pt idx="7">
                  <c:v>2</c:v>
                </c:pt>
                <c:pt idx="8">
                  <c:v>7</c:v>
                </c:pt>
              </c:numCache>
            </c:numRef>
          </c:val>
          <c:extLst>
            <c:ext xmlns:c16="http://schemas.microsoft.com/office/drawing/2014/chart" uri="{C3380CC4-5D6E-409C-BE32-E72D297353CC}">
              <c16:uniqueId val="{00000000-2F3F-4FBF-A560-23EFB03519B1}"/>
            </c:ext>
          </c:extLst>
        </c:ser>
        <c:ser>
          <c:idx val="1"/>
          <c:order val="1"/>
          <c:tx>
            <c:strRef>
              <c:f>[2]Information!$H$3</c:f>
              <c:strCache>
                <c:ptCount val="1"/>
                <c:pt idx="0">
                  <c:v>7 Days - 14 Days</c:v>
                </c:pt>
              </c:strCache>
            </c:strRef>
          </c:tx>
          <c:spPr>
            <a:solidFill>
              <a:schemeClr val="accent6">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[2]Information!$H$18:$H$26</c:f>
              <c:numCache>
                <c:formatCode>General</c:formatCode>
                <c:ptCount val="9"/>
                <c:pt idx="0">
                  <c:v>0</c:v>
                </c:pt>
                <c:pt idx="1">
                  <c:v>4</c:v>
                </c:pt>
                <c:pt idx="2">
                  <c:v>4</c:v>
                </c:pt>
                <c:pt idx="3">
                  <c:v>1</c:v>
                </c:pt>
                <c:pt idx="4">
                  <c:v>0</c:v>
                </c:pt>
                <c:pt idx="5">
                  <c:v>0</c:v>
                </c:pt>
                <c:pt idx="6">
                  <c:v>5</c:v>
                </c:pt>
                <c:pt idx="7">
                  <c:v>0</c:v>
                </c:pt>
                <c:pt idx="8">
                  <c:v>2</c:v>
                </c:pt>
              </c:numCache>
            </c:numRef>
          </c:val>
          <c:extLst>
            <c:ext xmlns:c16="http://schemas.microsoft.com/office/drawing/2014/chart" uri="{C3380CC4-5D6E-409C-BE32-E72D297353CC}">
              <c16:uniqueId val="{00000001-2F3F-4FBF-A560-23EFB03519B1}"/>
            </c:ext>
          </c:extLst>
        </c:ser>
        <c:ser>
          <c:idx val="2"/>
          <c:order val="2"/>
          <c:tx>
            <c:strRef>
              <c:f>[2]Information!$I$3</c:f>
              <c:strCache>
                <c:ptCount val="1"/>
                <c:pt idx="0">
                  <c:v>14 Days - 30 Days</c:v>
                </c:pt>
              </c:strCache>
            </c:strRef>
          </c:tx>
          <c:spPr>
            <a:solidFill>
              <a:schemeClr val="accent4">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[2]Information!$I$18:$I$26</c:f>
              <c:numCache>
                <c:formatCode>General</c:formatCode>
                <c:ptCount val="9"/>
                <c:pt idx="0">
                  <c:v>0</c:v>
                </c:pt>
                <c:pt idx="1">
                  <c:v>0</c:v>
                </c:pt>
                <c:pt idx="2">
                  <c:v>0</c:v>
                </c:pt>
                <c:pt idx="3">
                  <c:v>0</c:v>
                </c:pt>
                <c:pt idx="4">
                  <c:v>0</c:v>
                </c:pt>
                <c:pt idx="5">
                  <c:v>0</c:v>
                </c:pt>
                <c:pt idx="6">
                  <c:v>0</c:v>
                </c:pt>
                <c:pt idx="7">
                  <c:v>0</c:v>
                </c:pt>
                <c:pt idx="8">
                  <c:v>1</c:v>
                </c:pt>
              </c:numCache>
            </c:numRef>
          </c:val>
          <c:extLst>
            <c:ext xmlns:c16="http://schemas.microsoft.com/office/drawing/2014/chart" uri="{C3380CC4-5D6E-409C-BE32-E72D297353CC}">
              <c16:uniqueId val="{00000002-2F3F-4FBF-A560-23EFB03519B1}"/>
            </c:ext>
          </c:extLst>
        </c:ser>
        <c:ser>
          <c:idx val="3"/>
          <c:order val="3"/>
          <c:tx>
            <c:strRef>
              <c:f>[2]Information!$J$3</c:f>
              <c:strCache>
                <c:ptCount val="1"/>
                <c:pt idx="0">
                  <c:v>&gt;30 Days</c:v>
                </c:pt>
              </c:strCache>
            </c:strRef>
          </c:tx>
          <c:spPr>
            <a:solidFill>
              <a:schemeClr val="accent2">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[2]Information!$J$18:$J$26</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2F3F-4FBF-A560-23EFB03519B1}"/>
            </c:ext>
          </c:extLst>
        </c:ser>
        <c:dLbls>
          <c:showLegendKey val="0"/>
          <c:showVal val="0"/>
          <c:showCatName val="0"/>
          <c:showSerName val="0"/>
          <c:showPercent val="0"/>
          <c:showBubbleSize val="0"/>
        </c:dLbls>
        <c:gapWidth val="75"/>
        <c:shape val="box"/>
        <c:axId val="590807232"/>
        <c:axId val="1"/>
        <c:axId val="0"/>
      </c:bar3DChart>
      <c:catAx>
        <c:axId val="590807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max val="8"/>
        </c:scaling>
        <c:delete val="0"/>
        <c:axPos val="l"/>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590807232"/>
        <c:crosses val="autoZero"/>
        <c:crossBetween val="between"/>
        <c:majorUnit val="1"/>
      </c:valAx>
      <c:spPr>
        <a:noFill/>
        <a:ln w="25400">
          <a:noFill/>
        </a:ln>
      </c:spPr>
    </c:plotArea>
    <c:legend>
      <c:legendPos val="b"/>
      <c:layout>
        <c:manualLayout>
          <c:xMode val="edge"/>
          <c:yMode val="edge"/>
          <c:x val="5.9324008973065744E-2"/>
          <c:y val="0.86337558868971165"/>
          <c:w val="0.83182286726587473"/>
          <c:h val="7.9787792483386411E-2"/>
        </c:manualLayout>
      </c:layout>
      <c:overlay val="0"/>
      <c:spPr>
        <a:noFill/>
        <a:ln w="25400">
          <a:noFill/>
        </a:ln>
      </c:spPr>
      <c:txPr>
        <a:bodyPr/>
        <a:lstStyle/>
        <a:p>
          <a:pPr>
            <a:defRPr sz="120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0.10440464941882265"/>
          <c:y val="5.0700299630687742E-2"/>
          <c:w val="0.87500022497187846"/>
          <c:h val="0.82190323554688405"/>
        </c:manualLayout>
      </c:layout>
      <c:pie3DChart>
        <c:varyColors val="1"/>
        <c:ser>
          <c:idx val="0"/>
          <c:order val="0"/>
          <c:spPr>
            <a:solidFill>
              <a:schemeClr val="accent3">
                <a:lumMod val="60000"/>
                <a:lumOff val="40000"/>
              </a:schemeClr>
            </a:solidFill>
          </c:spPr>
          <c:explosion val="17"/>
          <c:dPt>
            <c:idx val="0"/>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D65A-486D-BAF1-AEDC9B160FAD}"/>
              </c:ext>
            </c:extLst>
          </c:dPt>
          <c:dPt>
            <c:idx val="1"/>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D65A-486D-BAF1-AEDC9B160FAD}"/>
              </c:ext>
            </c:extLst>
          </c:dPt>
          <c:dPt>
            <c:idx val="2"/>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D65A-486D-BAF1-AEDC9B160FAD}"/>
              </c:ext>
            </c:extLst>
          </c:dPt>
          <c:dPt>
            <c:idx val="3"/>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D65A-486D-BAF1-AEDC9B160FAD}"/>
              </c:ext>
            </c:extLst>
          </c:dPt>
          <c:dLbls>
            <c:dLbl>
              <c:idx val="0"/>
              <c:layout>
                <c:manualLayout>
                  <c:x val="-2.4101126435396837E-2"/>
                  <c:y val="-0.1327010632159189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5A-486D-BAF1-AEDC9B160FAD}"/>
                </c:ext>
              </c:extLst>
            </c:dLbl>
            <c:dLbl>
              <c:idx val="1"/>
              <c:layout>
                <c:manualLayout>
                  <c:x val="-1.5221540835100853E-2"/>
                  <c:y val="-1.614477016189036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5A-486D-BAF1-AEDC9B160FAD}"/>
                </c:ext>
              </c:extLst>
            </c:dLbl>
            <c:dLbl>
              <c:idx val="2"/>
              <c:layout>
                <c:manualLayout>
                  <c:x val="-0.24536497490154857"/>
                  <c:y val="6.78771032153914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65A-486D-BAF1-AEDC9B160FAD}"/>
                </c:ext>
              </c:extLst>
            </c:dLbl>
            <c:dLbl>
              <c:idx val="3"/>
              <c:layout>
                <c:manualLayout>
                  <c:x val="9.7538957630296214E-2"/>
                  <c:y val="-4.4257078484658445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65A-486D-BAF1-AEDC9B160FAD}"/>
                </c:ext>
              </c:extLst>
            </c:dLbl>
            <c:spPr>
              <a:noFill/>
              <a:ln w="25400">
                <a:noFill/>
              </a:ln>
            </c:sp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0 day - 7 days</c:v>
              </c:pt>
              <c:pt idx="1">
                <c:v>7 days - 14 days</c:v>
              </c:pt>
              <c:pt idx="2">
                <c:v>14 days - 30 days</c:v>
              </c:pt>
              <c:pt idx="3">
                <c:v>&gt; 30 days</c:v>
              </c:pt>
            </c:strLit>
          </c:cat>
          <c:val>
            <c:numRef>
              <c:f>[2]Information!$G$5:$J$5</c:f>
              <c:numCache>
                <c:formatCode>General</c:formatCode>
                <c:ptCount val="4"/>
                <c:pt idx="0">
                  <c:v>11</c:v>
                </c:pt>
                <c:pt idx="1">
                  <c:v>16</c:v>
                </c:pt>
                <c:pt idx="2">
                  <c:v>1</c:v>
                </c:pt>
                <c:pt idx="3">
                  <c:v>0</c:v>
                </c:pt>
              </c:numCache>
            </c:numRef>
          </c:val>
          <c:extLst>
            <c:ext xmlns:c16="http://schemas.microsoft.com/office/drawing/2014/chart" uri="{C3380CC4-5D6E-409C-BE32-E72D297353CC}">
              <c16:uniqueId val="{00000008-D65A-486D-BAF1-AEDC9B160FAD}"/>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noFill/>
    <a:ln w="9525">
      <a:solidFill>
        <a:schemeClr val="tx1"/>
      </a:solidFill>
    </a:ln>
  </c:spPr>
  <c:txPr>
    <a:bodyPr/>
    <a:lstStyle/>
    <a:p>
      <a:pPr>
        <a:defRPr sz="12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[2]Information!$FO$3</c:f>
              <c:strCache>
                <c:ptCount val="1"/>
                <c:pt idx="0">
                  <c:v>2016</c:v>
                </c:pt>
              </c:strCache>
            </c:strRef>
          </c:tx>
          <c:spPr>
            <a:ln w="28575" cap="rnd">
              <a:solidFill>
                <a:srgbClr val="00B0F0"/>
              </a:solidFill>
              <a:round/>
            </a:ln>
            <a:effectLst/>
          </c:spPr>
          <c:invertIfNegative val="0"/>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Ref>
              <c:f>[2]Information!$FO$4:$FO$15</c:f>
              <c:numCache>
                <c:formatCode>General</c:formatCode>
                <c:ptCount val="12"/>
                <c:pt idx="0">
                  <c:v>1</c:v>
                </c:pt>
                <c:pt idx="1">
                  <c:v>2</c:v>
                </c:pt>
                <c:pt idx="2">
                  <c:v>4</c:v>
                </c:pt>
                <c:pt idx="3">
                  <c:v>0</c:v>
                </c:pt>
                <c:pt idx="4">
                  <c:v>1</c:v>
                </c:pt>
                <c:pt idx="5">
                  <c:v>2</c:v>
                </c:pt>
                <c:pt idx="6">
                  <c:v>1</c:v>
                </c:pt>
                <c:pt idx="7">
                  <c:v>3</c:v>
                </c:pt>
                <c:pt idx="8">
                  <c:v>5</c:v>
                </c:pt>
                <c:pt idx="9">
                  <c:v>8</c:v>
                </c:pt>
                <c:pt idx="10">
                  <c:v>2</c:v>
                </c:pt>
                <c:pt idx="11">
                  <c:v>3</c:v>
                </c:pt>
              </c:numCache>
            </c:numRef>
          </c:val>
          <c:extLst>
            <c:ext xmlns:c16="http://schemas.microsoft.com/office/drawing/2014/chart" uri="{C3380CC4-5D6E-409C-BE32-E72D297353CC}">
              <c16:uniqueId val="{00000000-3400-4D7D-90EC-29E593094C10}"/>
            </c:ext>
          </c:extLst>
        </c:ser>
        <c:ser>
          <c:idx val="1"/>
          <c:order val="1"/>
          <c:tx>
            <c:strRef>
              <c:f>[2]Information!$FP$3</c:f>
              <c:strCache>
                <c:ptCount val="1"/>
                <c:pt idx="0">
                  <c:v>2017</c:v>
                </c:pt>
              </c:strCache>
            </c:strRef>
          </c:tx>
          <c:spPr>
            <a:ln w="28575" cap="rnd">
              <a:solidFill>
                <a:schemeClr val="accent4">
                  <a:lumMod val="75000"/>
                </a:schemeClr>
              </a:solidFill>
              <a:round/>
            </a:ln>
            <a:effectLst/>
          </c:spPr>
          <c:invertIfNegative val="0"/>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Ref>
              <c:f>[2]Information!$FP$4:$FP$15</c:f>
              <c:numCache>
                <c:formatCode>General</c:formatCode>
                <c:ptCount val="12"/>
                <c:pt idx="0">
                  <c:v>3</c:v>
                </c:pt>
                <c:pt idx="1">
                  <c:v>3</c:v>
                </c:pt>
                <c:pt idx="2">
                  <c:v>1</c:v>
                </c:pt>
                <c:pt idx="3">
                  <c:v>1</c:v>
                </c:pt>
                <c:pt idx="4">
                  <c:v>1</c:v>
                </c:pt>
                <c:pt idx="5">
                  <c:v>0</c:v>
                </c:pt>
                <c:pt idx="6">
                  <c:v>0</c:v>
                </c:pt>
                <c:pt idx="7">
                  <c:v>1</c:v>
                </c:pt>
                <c:pt idx="8">
                  <c:v>0</c:v>
                </c:pt>
                <c:pt idx="9">
                  <c:v>0</c:v>
                </c:pt>
                <c:pt idx="10">
                  <c:v>1</c:v>
                </c:pt>
                <c:pt idx="11">
                  <c:v>2</c:v>
                </c:pt>
              </c:numCache>
            </c:numRef>
          </c:val>
          <c:extLst>
            <c:ext xmlns:c16="http://schemas.microsoft.com/office/drawing/2014/chart" uri="{C3380CC4-5D6E-409C-BE32-E72D297353CC}">
              <c16:uniqueId val="{00000001-3400-4D7D-90EC-29E593094C10}"/>
            </c:ext>
          </c:extLst>
        </c:ser>
        <c:ser>
          <c:idx val="4"/>
          <c:order val="4"/>
          <c:tx>
            <c:strRef>
              <c:f>[2]Information!$FQ$20</c:f>
              <c:strCache>
                <c:ptCount val="1"/>
                <c:pt idx="0">
                  <c:v>2018</c:v>
                </c:pt>
              </c:strCache>
            </c:strRef>
          </c:tx>
          <c:spPr>
            <a:solidFill>
              <a:schemeClr val="accent6"/>
            </a:solidFill>
          </c:spPr>
          <c:invertIfNegative val="0"/>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Ref>
              <c:f>[2]Information!$FQ$21:$FQ$32</c:f>
              <c:numCache>
                <c:formatCode>General</c:formatCode>
                <c:ptCount val="12"/>
                <c:pt idx="0">
                  <c:v>1</c:v>
                </c:pt>
                <c:pt idx="1">
                  <c:v>2</c:v>
                </c:pt>
                <c:pt idx="2">
                  <c:v>2</c:v>
                </c:pt>
                <c:pt idx="3">
                  <c:v>1</c:v>
                </c:pt>
                <c:pt idx="4">
                  <c:v>1</c:v>
                </c:pt>
                <c:pt idx="5">
                  <c:v>1</c:v>
                </c:pt>
                <c:pt idx="6">
                  <c:v>2</c:v>
                </c:pt>
                <c:pt idx="7">
                  <c:v>0</c:v>
                </c:pt>
                <c:pt idx="8">
                  <c:v>0</c:v>
                </c:pt>
                <c:pt idx="9">
                  <c:v>0</c:v>
                </c:pt>
                <c:pt idx="10">
                  <c:v>0</c:v>
                </c:pt>
                <c:pt idx="11">
                  <c:v>0</c:v>
                </c:pt>
              </c:numCache>
            </c:numRef>
          </c:val>
          <c:extLst>
            <c:ext xmlns:c16="http://schemas.microsoft.com/office/drawing/2014/chart" uri="{C3380CC4-5D6E-409C-BE32-E72D297353CC}">
              <c16:uniqueId val="{00000002-3400-4D7D-90EC-29E593094C10}"/>
            </c:ext>
          </c:extLst>
        </c:ser>
        <c:dLbls>
          <c:showLegendKey val="0"/>
          <c:showVal val="0"/>
          <c:showCatName val="0"/>
          <c:showSerName val="0"/>
          <c:showPercent val="0"/>
          <c:showBubbleSize val="0"/>
        </c:dLbls>
        <c:gapWidth val="150"/>
        <c:axId val="2127633951"/>
        <c:axId val="1"/>
      </c:barChart>
      <c:lineChart>
        <c:grouping val="standard"/>
        <c:varyColors val="0"/>
        <c:ser>
          <c:idx val="2"/>
          <c:order val="2"/>
          <c:tx>
            <c:strRef>
              <c:f>[2]Information!$FS$36</c:f>
              <c:strCache>
                <c:ptCount val="1"/>
                <c:pt idx="0">
                  <c:v>Akumulasi 2016</c:v>
                </c:pt>
              </c:strCache>
            </c:strRef>
          </c:tx>
          <c:spPr>
            <a:ln>
              <a:solidFill>
                <a:srgbClr val="00B0F0"/>
              </a:solidFill>
            </a:ln>
          </c:spPr>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[2]Information!$FS$4:$FS$15</c:f>
              <c:numCache>
                <c:formatCode>General</c:formatCode>
                <c:ptCount val="12"/>
                <c:pt idx="0">
                  <c:v>1</c:v>
                </c:pt>
                <c:pt idx="1">
                  <c:v>3</c:v>
                </c:pt>
                <c:pt idx="2">
                  <c:v>7</c:v>
                </c:pt>
                <c:pt idx="3">
                  <c:v>7</c:v>
                </c:pt>
                <c:pt idx="4">
                  <c:v>8</c:v>
                </c:pt>
                <c:pt idx="5">
                  <c:v>10</c:v>
                </c:pt>
                <c:pt idx="6">
                  <c:v>11</c:v>
                </c:pt>
                <c:pt idx="7">
                  <c:v>14</c:v>
                </c:pt>
                <c:pt idx="8">
                  <c:v>19</c:v>
                </c:pt>
                <c:pt idx="9">
                  <c:v>27</c:v>
                </c:pt>
                <c:pt idx="10">
                  <c:v>29</c:v>
                </c:pt>
                <c:pt idx="11">
                  <c:v>32</c:v>
                </c:pt>
              </c:numCache>
            </c:numRef>
          </c:val>
          <c:smooth val="0"/>
          <c:extLst>
            <c:ext xmlns:c16="http://schemas.microsoft.com/office/drawing/2014/chart" uri="{C3380CC4-5D6E-409C-BE32-E72D297353CC}">
              <c16:uniqueId val="{00000003-3400-4D7D-90EC-29E593094C10}"/>
            </c:ext>
          </c:extLst>
        </c:ser>
        <c:ser>
          <c:idx val="3"/>
          <c:order val="3"/>
          <c:tx>
            <c:strRef>
              <c:f>[2]Information!$FT$36</c:f>
              <c:strCache>
                <c:ptCount val="1"/>
                <c:pt idx="0">
                  <c:v>Akumulasi 2017</c:v>
                </c:pt>
              </c:strCache>
            </c:strRef>
          </c:tx>
          <c:spPr>
            <a:ln>
              <a:solidFill>
                <a:schemeClr val="accent4">
                  <a:lumMod val="75000"/>
                </a:schemeClr>
              </a:solidFill>
            </a:ln>
          </c:spPr>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[2]Information!$FT$4:$FT$15</c:f>
              <c:numCache>
                <c:formatCode>General</c:formatCode>
                <c:ptCount val="12"/>
                <c:pt idx="0">
                  <c:v>3</c:v>
                </c:pt>
                <c:pt idx="1">
                  <c:v>6</c:v>
                </c:pt>
                <c:pt idx="2">
                  <c:v>7</c:v>
                </c:pt>
                <c:pt idx="3">
                  <c:v>8</c:v>
                </c:pt>
                <c:pt idx="4">
                  <c:v>9</c:v>
                </c:pt>
                <c:pt idx="5">
                  <c:v>9</c:v>
                </c:pt>
                <c:pt idx="6">
                  <c:v>9</c:v>
                </c:pt>
                <c:pt idx="7">
                  <c:v>10</c:v>
                </c:pt>
                <c:pt idx="8">
                  <c:v>10</c:v>
                </c:pt>
                <c:pt idx="9">
                  <c:v>10</c:v>
                </c:pt>
                <c:pt idx="10">
                  <c:v>11</c:v>
                </c:pt>
                <c:pt idx="11">
                  <c:v>13</c:v>
                </c:pt>
              </c:numCache>
            </c:numRef>
          </c:val>
          <c:smooth val="0"/>
          <c:extLst>
            <c:ext xmlns:c16="http://schemas.microsoft.com/office/drawing/2014/chart" uri="{C3380CC4-5D6E-409C-BE32-E72D297353CC}">
              <c16:uniqueId val="{00000004-3400-4D7D-90EC-29E593094C10}"/>
            </c:ext>
          </c:extLst>
        </c:ser>
        <c:ser>
          <c:idx val="5"/>
          <c:order val="5"/>
          <c:tx>
            <c:strRef>
              <c:f>[2]Information!$FU$20</c:f>
              <c:strCache>
                <c:ptCount val="1"/>
                <c:pt idx="0">
                  <c:v>Akumulasi 2018</c:v>
                </c:pt>
              </c:strCache>
            </c:strRef>
          </c:tx>
          <c:val>
            <c:numRef>
              <c:f>[2]Information!$FU$21:$FU$32</c:f>
              <c:numCache>
                <c:formatCode>General</c:formatCode>
                <c:ptCount val="12"/>
                <c:pt idx="0">
                  <c:v>1</c:v>
                </c:pt>
                <c:pt idx="1">
                  <c:v>3</c:v>
                </c:pt>
                <c:pt idx="2">
                  <c:v>5</c:v>
                </c:pt>
                <c:pt idx="3">
                  <c:v>6</c:v>
                </c:pt>
                <c:pt idx="4">
                  <c:v>7</c:v>
                </c:pt>
                <c:pt idx="5">
                  <c:v>8</c:v>
                </c:pt>
                <c:pt idx="6">
                  <c:v>10</c:v>
                </c:pt>
                <c:pt idx="7">
                  <c:v>10</c:v>
                </c:pt>
                <c:pt idx="8">
                  <c:v>10</c:v>
                </c:pt>
                <c:pt idx="9">
                  <c:v>10</c:v>
                </c:pt>
                <c:pt idx="10">
                  <c:v>10</c:v>
                </c:pt>
                <c:pt idx="11">
                  <c:v>10</c:v>
                </c:pt>
              </c:numCache>
            </c:numRef>
          </c:val>
          <c:smooth val="0"/>
          <c:extLst>
            <c:ext xmlns:c16="http://schemas.microsoft.com/office/drawing/2014/chart" uri="{C3380CC4-5D6E-409C-BE32-E72D297353CC}">
              <c16:uniqueId val="{00000005-3400-4D7D-90EC-29E593094C10}"/>
            </c:ext>
          </c:extLst>
        </c:ser>
        <c:dLbls>
          <c:showLegendKey val="0"/>
          <c:showVal val="0"/>
          <c:showCatName val="0"/>
          <c:showSerName val="0"/>
          <c:showPercent val="0"/>
          <c:showBubbleSize val="0"/>
        </c:dLbls>
        <c:marker val="1"/>
        <c:smooth val="0"/>
        <c:axId val="2127633951"/>
        <c:axId val="1"/>
      </c:lineChart>
      <c:catAx>
        <c:axId val="212763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1"/>
        <c:axPos val="l"/>
        <c:numFmt formatCode="General" sourceLinked="1"/>
        <c:majorTickMark val="out"/>
        <c:minorTickMark val="none"/>
        <c:tickLblPos val="nextTo"/>
        <c:crossAx val="2127633951"/>
        <c:crosses val="autoZero"/>
        <c:crossBetween val="between"/>
      </c:valAx>
      <c:spPr>
        <a:noFill/>
        <a:ln w="25400">
          <a:noFill/>
        </a:ln>
      </c:spPr>
    </c:plotArea>
    <c:legend>
      <c:legendPos val="t"/>
      <c:layout>
        <c:manualLayout>
          <c:xMode val="edge"/>
          <c:yMode val="edge"/>
          <c:x val="9.8793406219905948E-3"/>
          <c:y val="2.6229508196721311E-2"/>
          <c:w val="0.93748275612154364"/>
          <c:h val="0.18574390729457813"/>
        </c:manualLayout>
      </c:layout>
      <c:overlay val="0"/>
      <c:spPr>
        <a:noFill/>
        <a:ln w="25400">
          <a:noFill/>
        </a:ln>
      </c:spPr>
      <c:txPr>
        <a:bodyPr/>
        <a:lstStyle/>
        <a:p>
          <a:pPr>
            <a:defRPr sz="120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[2]Information!$FO$36</c:f>
              <c:strCache>
                <c:ptCount val="1"/>
                <c:pt idx="0">
                  <c:v>2016</c:v>
                </c:pt>
              </c:strCache>
            </c:strRef>
          </c:tx>
          <c:spPr>
            <a:ln w="28575" cap="rnd">
              <a:solidFill>
                <a:schemeClr val="accent5"/>
              </a:solidFill>
              <a:round/>
            </a:ln>
            <a:effectLst/>
          </c:spPr>
          <c:marker>
            <c:symbol val="circle"/>
            <c:size val="5"/>
            <c:spPr>
              <a:solidFill>
                <a:schemeClr val="accent1"/>
              </a:solidFill>
              <a:ln w="9525">
                <a:solidFill>
                  <a:schemeClr val="accent1"/>
                </a:solidFill>
              </a:ln>
              <a:effectLst/>
            </c:spPr>
          </c:marker>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[2]Information!$AF$21:$AF$32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[2]Information!$FS$37:$FS$48</c:f>
              <c:numCache>
                <c:formatCode>General</c:formatCode>
                <c:ptCount val="12"/>
                <c:pt idx="0">
                  <c:v>5</c:v>
                </c:pt>
                <c:pt idx="1">
                  <c:v>6</c:v>
                </c:pt>
                <c:pt idx="2">
                  <c:v>11</c:v>
                </c:pt>
                <c:pt idx="3">
                  <c:v>15</c:v>
                </c:pt>
                <c:pt idx="4">
                  <c:v>18</c:v>
                </c:pt>
                <c:pt idx="5">
                  <c:v>25</c:v>
                </c:pt>
                <c:pt idx="6">
                  <c:v>25</c:v>
                </c:pt>
                <c:pt idx="7">
                  <c:v>31</c:v>
                </c:pt>
                <c:pt idx="8">
                  <c:v>31</c:v>
                </c:pt>
                <c:pt idx="9">
                  <c:v>41</c:v>
                </c:pt>
                <c:pt idx="10">
                  <c:v>43</c:v>
                </c:pt>
                <c:pt idx="11">
                  <c:v>43</c:v>
                </c:pt>
              </c:numCache>
            </c:numRef>
          </c:yVal>
          <c:smooth val="0"/>
          <c:extLst>
            <c:ext xmlns:c16="http://schemas.microsoft.com/office/drawing/2014/chart" uri="{C3380CC4-5D6E-409C-BE32-E72D297353CC}">
              <c16:uniqueId val="{00000000-45A9-4D0F-8269-8F6D505C2F48}"/>
            </c:ext>
          </c:extLst>
        </c:ser>
        <c:ser>
          <c:idx val="1"/>
          <c:order val="1"/>
          <c:tx>
            <c:strRef>
              <c:f>[2]Information!$FP$36</c:f>
              <c:strCache>
                <c:ptCount val="1"/>
                <c:pt idx="0">
                  <c:v>2017</c:v>
                </c:pt>
              </c:strCache>
            </c:strRef>
          </c:tx>
          <c:spPr>
            <a:ln w="28575" cap="rnd">
              <a:solidFill>
                <a:schemeClr val="accent2"/>
              </a:solidFill>
              <a:round/>
            </a:ln>
            <a:effectLst/>
          </c:spPr>
          <c:marker>
            <c:symbol val="circle"/>
            <c:size val="5"/>
            <c:spPr>
              <a:solidFill>
                <a:schemeClr val="tx1"/>
              </a:solidFill>
              <a:ln w="9525">
                <a:solidFill>
                  <a:srgbClr val="92D050"/>
                </a:solidFill>
              </a:ln>
              <a:effectLst/>
            </c:spPr>
          </c:marker>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[2]Information!$AF$21:$AF$32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[2]Information!$FT$37:$FT$48</c:f>
              <c:numCache>
                <c:formatCode>General</c:formatCode>
                <c:ptCount val="12"/>
                <c:pt idx="0">
                  <c:v>1</c:v>
                </c:pt>
                <c:pt idx="1">
                  <c:v>3</c:v>
                </c:pt>
                <c:pt idx="2">
                  <c:v>10</c:v>
                </c:pt>
                <c:pt idx="3">
                  <c:v>21</c:v>
                </c:pt>
                <c:pt idx="4">
                  <c:v>23</c:v>
                </c:pt>
                <c:pt idx="5">
                  <c:v>30</c:v>
                </c:pt>
                <c:pt idx="6">
                  <c:v>36</c:v>
                </c:pt>
                <c:pt idx="7">
                  <c:v>41</c:v>
                </c:pt>
                <c:pt idx="8">
                  <c:v>43</c:v>
                </c:pt>
                <c:pt idx="9">
                  <c:v>45</c:v>
                </c:pt>
                <c:pt idx="10">
                  <c:v>47</c:v>
                </c:pt>
                <c:pt idx="11">
                  <c:v>48</c:v>
                </c:pt>
              </c:numCache>
            </c:numRef>
          </c:yVal>
          <c:smooth val="0"/>
          <c:extLst>
            <c:ext xmlns:c16="http://schemas.microsoft.com/office/drawing/2014/chart" uri="{C3380CC4-5D6E-409C-BE32-E72D297353CC}">
              <c16:uniqueId val="{00000001-45A9-4D0F-8269-8F6D505C2F48}"/>
            </c:ext>
          </c:extLst>
        </c:ser>
        <c:ser>
          <c:idx val="2"/>
          <c:order val="2"/>
          <c:tx>
            <c:strRef>
              <c:f>[2]Information!$FQ$20</c:f>
              <c:strCache>
                <c:ptCount val="1"/>
                <c:pt idx="0">
                  <c:v>2018</c:v>
                </c:pt>
              </c:strCache>
            </c:strRef>
          </c:tx>
          <c:spPr>
            <a:ln>
              <a:solidFill>
                <a:schemeClr val="accent6"/>
              </a:solidFill>
            </a:ln>
          </c:spPr>
          <c:xVal>
            <c:numRef>
              <c:f>[2]Information!$FN$37:$FN$48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[2]Information!$FU$37:$FU$48</c:f>
              <c:numCache>
                <c:formatCode>General</c:formatCode>
                <c:ptCount val="12"/>
                <c:pt idx="0">
                  <c:v>1</c:v>
                </c:pt>
                <c:pt idx="1">
                  <c:v>1</c:v>
                </c:pt>
                <c:pt idx="2">
                  <c:v>1</c:v>
                </c:pt>
                <c:pt idx="3">
                  <c:v>1</c:v>
                </c:pt>
                <c:pt idx="4">
                  <c:v>2</c:v>
                </c:pt>
                <c:pt idx="5">
                  <c:v>2</c:v>
                </c:pt>
                <c:pt idx="6">
                  <c:v>3</c:v>
                </c:pt>
                <c:pt idx="7">
                  <c:v>3</c:v>
                </c:pt>
                <c:pt idx="8">
                  <c:v>3</c:v>
                </c:pt>
                <c:pt idx="9">
                  <c:v>3</c:v>
                </c:pt>
                <c:pt idx="10">
                  <c:v>3</c:v>
                </c:pt>
                <c:pt idx="11">
                  <c:v>3</c:v>
                </c:pt>
              </c:numCache>
            </c:numRef>
          </c:yVal>
          <c:smooth val="0"/>
          <c:extLst>
            <c:ext xmlns:c16="http://schemas.microsoft.com/office/drawing/2014/chart" uri="{C3380CC4-5D6E-409C-BE32-E72D297353CC}">
              <c16:uniqueId val="{00000002-45A9-4D0F-8269-8F6D505C2F48}"/>
            </c:ext>
          </c:extLst>
        </c:ser>
        <c:dLbls>
          <c:showLegendKey val="0"/>
          <c:showVal val="0"/>
          <c:showCatName val="0"/>
          <c:showSerName val="0"/>
          <c:showPercent val="0"/>
          <c:showBubbleSize val="0"/>
        </c:dLbls>
        <c:axId val="2127620223"/>
        <c:axId val="1"/>
      </c:scatterChart>
      <c:valAx>
        <c:axId val="2127620223"/>
        <c:scaling>
          <c:orientation val="minMax"/>
          <c:max val="12"/>
          <c:min val="1"/>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crossBetween val="midCat"/>
        <c:majorUnit val="1"/>
      </c:valAx>
      <c:valAx>
        <c:axId val="1"/>
        <c:scaling>
          <c:orientation val="minMax"/>
        </c:scaling>
        <c:delete val="1"/>
        <c:axPos val="l"/>
        <c:numFmt formatCode="General" sourceLinked="1"/>
        <c:majorTickMark val="out"/>
        <c:minorTickMark val="none"/>
        <c:tickLblPos val="nextTo"/>
        <c:crossAx val="2127620223"/>
        <c:crosses val="autoZero"/>
        <c:crossBetween val="midCat"/>
      </c:valAx>
      <c:spPr>
        <a:noFill/>
        <a:ln w="25400">
          <a:noFill/>
        </a:ln>
      </c:spPr>
    </c:plotArea>
    <c:legend>
      <c:legendPos val="t"/>
      <c:overlay val="0"/>
      <c:spPr>
        <a:noFill/>
        <a:ln w="25400">
          <a:noFill/>
        </a:ln>
      </c:spPr>
      <c:txPr>
        <a:bodyPr/>
        <a:lstStyle/>
        <a:p>
          <a:pPr>
            <a:defRPr sz="120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7.8519288862477096E-2"/>
          <c:y val="3.7483266398929051E-2"/>
          <c:w val="0.89003417025701981"/>
          <c:h val="0.7186393869441019"/>
        </c:manualLayout>
      </c:layout>
      <c:bar3DChart>
        <c:barDir val="col"/>
        <c:grouping val="stacked"/>
        <c:varyColors val="0"/>
        <c:ser>
          <c:idx val="0"/>
          <c:order val="0"/>
          <c:tx>
            <c:strRef>
              <c:f>[3]Information!$V$2</c:f>
              <c:strCache>
                <c:ptCount val="1"/>
                <c:pt idx="0">
                  <c:v>Settled</c:v>
                </c:pt>
              </c:strCache>
            </c:strRef>
          </c:tx>
          <c:spPr>
            <a:solidFill>
              <a:srgbClr val="92D050"/>
            </a:solidFill>
            <a:ln w="25400">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[3]Information!$V$9:$V$17</c:f>
              <c:numCache>
                <c:formatCode>General</c:formatCode>
                <c:ptCount val="9"/>
                <c:pt idx="0">
                  <c:v>0</c:v>
                </c:pt>
                <c:pt idx="1">
                  <c:v>0</c:v>
                </c:pt>
                <c:pt idx="2">
                  <c:v>0</c:v>
                </c:pt>
                <c:pt idx="3">
                  <c:v>0</c:v>
                </c:pt>
                <c:pt idx="4">
                  <c:v>1</c:v>
                </c:pt>
                <c:pt idx="5">
                  <c:v>8</c:v>
                </c:pt>
                <c:pt idx="6">
                  <c:v>19</c:v>
                </c:pt>
                <c:pt idx="7">
                  <c:v>1</c:v>
                </c:pt>
                <c:pt idx="8">
                  <c:v>0</c:v>
                </c:pt>
              </c:numCache>
            </c:numRef>
          </c:val>
          <c:extLst>
            <c:ext xmlns:c16="http://schemas.microsoft.com/office/drawing/2014/chart" uri="{C3380CC4-5D6E-409C-BE32-E72D297353CC}">
              <c16:uniqueId val="{00000000-6C37-489B-8189-F5736DD9794B}"/>
            </c:ext>
          </c:extLst>
        </c:ser>
        <c:ser>
          <c:idx val="1"/>
          <c:order val="1"/>
          <c:tx>
            <c:strRef>
              <c:f>[3]Information!$W$2</c:f>
              <c:strCache>
                <c:ptCount val="1"/>
                <c:pt idx="0">
                  <c:v>Outstanding</c:v>
                </c:pt>
              </c:strCache>
            </c:strRef>
          </c:tx>
          <c:spPr>
            <a:solidFill>
              <a:schemeClr val="bg2">
                <a:lumMod val="75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[3]Information!$W$9:$W$17</c:f>
              <c:numCache>
                <c:formatCode>General</c:formatCode>
                <c:ptCount val="9"/>
                <c:pt idx="0">
                  <c:v>0</c:v>
                </c:pt>
                <c:pt idx="1">
                  <c:v>0</c:v>
                </c:pt>
                <c:pt idx="2">
                  <c:v>0</c:v>
                </c:pt>
                <c:pt idx="3">
                  <c:v>0</c:v>
                </c:pt>
                <c:pt idx="4">
                  <c:v>0</c:v>
                </c:pt>
                <c:pt idx="5">
                  <c:v>30</c:v>
                </c:pt>
                <c:pt idx="6">
                  <c:v>35</c:v>
                </c:pt>
                <c:pt idx="7">
                  <c:v>0</c:v>
                </c:pt>
                <c:pt idx="8">
                  <c:v>0</c:v>
                </c:pt>
              </c:numCache>
            </c:numRef>
          </c:val>
          <c:extLst>
            <c:ext xmlns:c16="http://schemas.microsoft.com/office/drawing/2014/chart" uri="{C3380CC4-5D6E-409C-BE32-E72D297353CC}">
              <c16:uniqueId val="{00000001-6C37-489B-8189-F5736DD9794B}"/>
            </c:ext>
          </c:extLst>
        </c:ser>
        <c:dLbls>
          <c:showLegendKey val="0"/>
          <c:showVal val="0"/>
          <c:showCatName val="0"/>
          <c:showSerName val="0"/>
          <c:showPercent val="0"/>
          <c:showBubbleSize val="0"/>
        </c:dLbls>
        <c:gapWidth val="75"/>
        <c:shape val="box"/>
        <c:axId val="565873336"/>
        <c:axId val="1"/>
        <c:axId val="0"/>
      </c:bar3DChart>
      <c:catAx>
        <c:axId val="5658733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565873336"/>
        <c:crosses val="autoZero"/>
        <c:crossBetween val="between"/>
      </c:valAx>
      <c:spPr>
        <a:noFill/>
        <a:ln w="25400">
          <a:noFill/>
        </a:ln>
      </c:spPr>
    </c:plotArea>
    <c:legend>
      <c:legendPos val="b"/>
      <c:overlay val="0"/>
      <c:spPr>
        <a:noFill/>
        <a:ln w="25400">
          <a:noFill/>
        </a:ln>
      </c:spPr>
      <c:txPr>
        <a:bodyPr/>
        <a:lstStyle/>
        <a:p>
          <a:pPr>
            <a:defRPr sz="1200" b="0" i="0" u="none" strike="noStrike" baseline="0">
              <a:solidFill>
                <a:srgbClr val="333333"/>
              </a:solidFill>
              <a:latin typeface="Calibri"/>
              <a:ea typeface="Calibri"/>
              <a:cs typeface="Calibri"/>
            </a:defRPr>
          </a:pPr>
          <a:endParaRPr lang="en-US"/>
        </a:p>
      </c:txPr>
    </c:legend>
    <c:plotVisOnly val="1"/>
    <c:dispBlanksAs val="gap"/>
    <c:showDLblsOverMax val="0"/>
  </c:chart>
  <c:spPr>
    <a:noFill/>
    <a:ln w="9525">
      <a:solidFill>
        <a:schemeClr val="tx1"/>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stacked"/>
        <c:varyColors val="0"/>
        <c:ser>
          <c:idx val="0"/>
          <c:order val="0"/>
          <c:tx>
            <c:v>Polis ACA Limit Cabang</c:v>
          </c:tx>
          <c:spPr>
            <a:solidFill>
              <a:schemeClr val="accent1">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[3]Information!$Y$9:$Y$17</c:f>
              <c:numCache>
                <c:formatCode>General</c:formatCode>
                <c:ptCount val="9"/>
                <c:pt idx="0">
                  <c:v>0</c:v>
                </c:pt>
                <c:pt idx="1">
                  <c:v>0</c:v>
                </c:pt>
                <c:pt idx="2">
                  <c:v>0</c:v>
                </c:pt>
                <c:pt idx="3">
                  <c:v>0</c:v>
                </c:pt>
                <c:pt idx="4">
                  <c:v>0</c:v>
                </c:pt>
                <c:pt idx="5">
                  <c:v>0</c:v>
                </c:pt>
                <c:pt idx="6">
                  <c:v>0</c:v>
                </c:pt>
                <c:pt idx="7">
                  <c:v>1</c:v>
                </c:pt>
                <c:pt idx="8">
                  <c:v>0</c:v>
                </c:pt>
              </c:numCache>
            </c:numRef>
          </c:val>
          <c:extLst>
            <c:ext xmlns:c16="http://schemas.microsoft.com/office/drawing/2014/chart" uri="{C3380CC4-5D6E-409C-BE32-E72D297353CC}">
              <c16:uniqueId val="{00000000-069C-4915-B3D5-E46C564590D1}"/>
            </c:ext>
          </c:extLst>
        </c:ser>
        <c:ser>
          <c:idx val="2"/>
          <c:order val="1"/>
          <c:tx>
            <c:v>Polis Inward Limit Cabang</c:v>
          </c:tx>
          <c:spPr>
            <a:solidFill>
              <a:schemeClr val="accent1">
                <a:lumMod val="20000"/>
                <a:lumOff val="8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[3]Information!$AA$9:$AA$17</c:f>
              <c:numCache>
                <c:formatCode>General</c:formatCode>
                <c:ptCount val="9"/>
                <c:pt idx="0">
                  <c:v>0</c:v>
                </c:pt>
                <c:pt idx="1">
                  <c:v>0</c:v>
                </c:pt>
                <c:pt idx="2">
                  <c:v>0</c:v>
                </c:pt>
                <c:pt idx="3">
                  <c:v>0</c:v>
                </c:pt>
                <c:pt idx="4">
                  <c:v>0</c:v>
                </c:pt>
                <c:pt idx="5">
                  <c:v>32</c:v>
                </c:pt>
                <c:pt idx="6">
                  <c:v>49</c:v>
                </c:pt>
                <c:pt idx="7">
                  <c:v>0</c:v>
                </c:pt>
                <c:pt idx="8">
                  <c:v>0</c:v>
                </c:pt>
              </c:numCache>
            </c:numRef>
          </c:val>
          <c:extLst>
            <c:ext xmlns:c16="http://schemas.microsoft.com/office/drawing/2014/chart" uri="{C3380CC4-5D6E-409C-BE32-E72D297353CC}">
              <c16:uniqueId val="{00000001-069C-4915-B3D5-E46C564590D1}"/>
            </c:ext>
          </c:extLst>
        </c:ser>
        <c:ser>
          <c:idx val="1"/>
          <c:order val="2"/>
          <c:tx>
            <c:v>Polis ACA Limit HO</c:v>
          </c:tx>
          <c:spPr>
            <a:solidFill>
              <a:schemeClr val="accent6">
                <a:lumMod val="40000"/>
                <a:lumOff val="6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[3]Information!$Z$9:$Z$17</c:f>
              <c:numCache>
                <c:formatCode>General</c:formatCode>
                <c:ptCount val="9"/>
                <c:pt idx="0">
                  <c:v>0</c:v>
                </c:pt>
                <c:pt idx="1">
                  <c:v>0</c:v>
                </c:pt>
                <c:pt idx="2">
                  <c:v>0</c:v>
                </c:pt>
                <c:pt idx="3">
                  <c:v>0</c:v>
                </c:pt>
                <c:pt idx="4">
                  <c:v>1</c:v>
                </c:pt>
                <c:pt idx="5">
                  <c:v>4</c:v>
                </c:pt>
                <c:pt idx="6">
                  <c:v>1</c:v>
                </c:pt>
                <c:pt idx="7">
                  <c:v>0</c:v>
                </c:pt>
                <c:pt idx="8">
                  <c:v>0</c:v>
                </c:pt>
              </c:numCache>
            </c:numRef>
          </c:val>
          <c:extLst>
            <c:ext xmlns:c16="http://schemas.microsoft.com/office/drawing/2014/chart" uri="{C3380CC4-5D6E-409C-BE32-E72D297353CC}">
              <c16:uniqueId val="{00000002-069C-4915-B3D5-E46C564590D1}"/>
            </c:ext>
          </c:extLst>
        </c:ser>
        <c:ser>
          <c:idx val="3"/>
          <c:order val="3"/>
          <c:tx>
            <c:v>Polis Inward Limit HO</c:v>
          </c:tx>
          <c:spPr>
            <a:solidFill>
              <a:schemeClr val="accent6">
                <a:lumMod val="20000"/>
                <a:lumOff val="80000"/>
              </a:schemeClr>
            </a:solidFill>
            <a:ln w="25400">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[3]Information!$AB$9:$AB$17</c:f>
              <c:numCache>
                <c:formatCode>General</c:formatCode>
                <c:ptCount val="9"/>
                <c:pt idx="0">
                  <c:v>0</c:v>
                </c:pt>
                <c:pt idx="1">
                  <c:v>0</c:v>
                </c:pt>
                <c:pt idx="2">
                  <c:v>0</c:v>
                </c:pt>
                <c:pt idx="3">
                  <c:v>0</c:v>
                </c:pt>
                <c:pt idx="4">
                  <c:v>0</c:v>
                </c:pt>
                <c:pt idx="5">
                  <c:v>2</c:v>
                </c:pt>
                <c:pt idx="6">
                  <c:v>4</c:v>
                </c:pt>
                <c:pt idx="7">
                  <c:v>0</c:v>
                </c:pt>
                <c:pt idx="8">
                  <c:v>0</c:v>
                </c:pt>
              </c:numCache>
            </c:numRef>
          </c:val>
          <c:extLst>
            <c:ext xmlns:c16="http://schemas.microsoft.com/office/drawing/2014/chart" uri="{C3380CC4-5D6E-409C-BE32-E72D297353CC}">
              <c16:uniqueId val="{00000003-069C-4915-B3D5-E46C564590D1}"/>
            </c:ext>
          </c:extLst>
        </c:ser>
        <c:dLbls>
          <c:showLegendKey val="0"/>
          <c:showVal val="0"/>
          <c:showCatName val="0"/>
          <c:showSerName val="0"/>
          <c:showPercent val="0"/>
          <c:showBubbleSize val="0"/>
        </c:dLbls>
        <c:gapWidth val="75"/>
        <c:shape val="box"/>
        <c:axId val="565872680"/>
        <c:axId val="1"/>
        <c:axId val="0"/>
      </c:bar3DChart>
      <c:catAx>
        <c:axId val="565872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565872680"/>
        <c:crosses val="autoZero"/>
        <c:crossBetween val="between"/>
      </c:valAx>
      <c:spPr>
        <a:noFill/>
        <a:ln w="25400">
          <a:noFill/>
        </a:ln>
      </c:spPr>
    </c:plotArea>
    <c:legend>
      <c:legendPos val="b"/>
      <c:overlay val="0"/>
      <c:spPr>
        <a:noFill/>
        <a:ln w="25400">
          <a:noFill/>
        </a:ln>
      </c:spPr>
      <c:txPr>
        <a:bodyPr/>
        <a:lstStyle/>
        <a:p>
          <a:pPr>
            <a:defRPr sz="900" b="0" i="0" u="none" strike="noStrike" baseline="0">
              <a:solidFill>
                <a:srgbClr val="333333"/>
              </a:solidFill>
              <a:latin typeface="Calibri"/>
              <a:ea typeface="Calibri"/>
              <a:cs typeface="Calibri"/>
            </a:defRPr>
          </a:pPr>
          <a:endParaRPr lang="en-US"/>
        </a:p>
      </c:txPr>
    </c:legend>
    <c:plotVisOnly val="1"/>
    <c:dispBlanksAs val="gap"/>
    <c:showDLblsOverMax val="0"/>
  </c:chart>
  <c:spPr>
    <a:noFill/>
    <a:ln w="9525">
      <a:solidFill>
        <a:schemeClr val="tx1"/>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0.13869036370453694"/>
          <c:y val="0.19473113381488472"/>
          <c:w val="0.79119070116235468"/>
          <c:h val="0.75378842107546473"/>
        </c:manualLayout>
      </c:layout>
      <c:pie3DChart>
        <c:varyColors val="1"/>
        <c:ser>
          <c:idx val="0"/>
          <c:order val="0"/>
          <c:explosion val="26"/>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D25-46E0-8ED8-9461F476036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D25-46E0-8ED8-9461F476036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D25-46E0-8ED8-9461F476036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D25-46E0-8ED8-9461F476036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D25-46E0-8ED8-9461F4760364}"/>
              </c:ext>
            </c:extLst>
          </c:dPt>
          <c:dPt>
            <c:idx val="5"/>
            <c:bubble3D val="0"/>
            <c:explosion val="21"/>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D25-46E0-8ED8-9461F4760364}"/>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5D25-46E0-8ED8-9461F4760364}"/>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5D25-46E0-8ED8-9461F4760364}"/>
              </c:ext>
            </c:extLst>
          </c:dPt>
          <c:dPt>
            <c:idx val="8"/>
            <c:bubble3D val="0"/>
            <c:extLst>
              <c:ext xmlns:c16="http://schemas.microsoft.com/office/drawing/2014/chart" uri="{C3380CC4-5D6E-409C-BE32-E72D297353CC}">
                <c16:uniqueId val="{00000010-5D25-46E0-8ED8-9461F4760364}"/>
              </c:ext>
            </c:extLst>
          </c:dPt>
          <c:dLbls>
            <c:dLbl>
              <c:idx val="0"/>
              <c:layout>
                <c:manualLayout>
                  <c:x val="-0.17733464082090331"/>
                  <c:y val="-5.57651171349286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25-46E0-8ED8-9461F4760364}"/>
                </c:ext>
              </c:extLst>
            </c:dLbl>
            <c:dLbl>
              <c:idx val="1"/>
              <c:layout>
                <c:manualLayout>
                  <c:x val="-2.5306156350990913E-3"/>
                  <c:y val="-5.798145883709477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25-46E0-8ED8-9461F4760364}"/>
                </c:ext>
              </c:extLst>
            </c:dLbl>
            <c:dLbl>
              <c:idx val="2"/>
              <c:layout>
                <c:manualLayout>
                  <c:x val="0.1751520293320202"/>
                  <c:y val="-5.938737125136218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D25-46E0-8ED8-9461F4760364}"/>
                </c:ext>
              </c:extLst>
            </c:dLbl>
            <c:dLbl>
              <c:idx val="3"/>
              <c:layout>
                <c:manualLayout>
                  <c:x val="0.24286587262505815"/>
                  <c:y val="4.735253209081815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D25-46E0-8ED8-9461F4760364}"/>
                </c:ext>
              </c:extLst>
            </c:dLbl>
            <c:dLbl>
              <c:idx val="4"/>
              <c:layout>
                <c:manualLayout>
                  <c:x val="0.32655510644807778"/>
                  <c:y val="0.1416015956801901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D25-46E0-8ED8-9461F4760364}"/>
                </c:ext>
              </c:extLst>
            </c:dLbl>
            <c:dLbl>
              <c:idx val="5"/>
              <c:layout>
                <c:manualLayout>
                  <c:x val="3.6909797766026965E-2"/>
                  <c:y val="0.1002668408171673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5D25-46E0-8ED8-9461F4760364}"/>
                </c:ext>
              </c:extLst>
            </c:dLbl>
            <c:dLbl>
              <c:idx val="6"/>
              <c:layout>
                <c:manualLayout>
                  <c:x val="-4.0296362954630814E-2"/>
                  <c:y val="8.202034663022474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D25-46E0-8ED8-9461F4760364}"/>
                </c:ext>
              </c:extLst>
            </c:dLbl>
            <c:dLbl>
              <c:idx val="7"/>
              <c:layout>
                <c:manualLayout>
                  <c:x val="-0.36977923857777673"/>
                  <c:y val="0.2193223366257171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5D25-46E0-8ED8-9461F4760364}"/>
                </c:ext>
              </c:extLst>
            </c:dLbl>
            <c:dLbl>
              <c:idx val="8"/>
              <c:layout>
                <c:manualLayout>
                  <c:x val="-0.36098759949180886"/>
                  <c:y val="5.486134184343693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5D25-46E0-8ED8-9461F4760364}"/>
                </c:ext>
              </c:extLst>
            </c:dLbl>
            <c:spPr>
              <a:noFill/>
              <a:ln w="25400">
                <a:noFill/>
              </a:ln>
            </c:spPr>
            <c:txPr>
              <a:bodyPr/>
              <a:lstStyle/>
              <a:p>
                <a:pPr>
                  <a:defRPr sz="1200"/>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f>[3]Information!$K$18:$K$26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[3]Information!$M$18:$M$26</c:f>
              <c:numCache>
                <c:formatCode>General</c:formatCode>
                <c:ptCount val="9"/>
                <c:pt idx="0">
                  <c:v>0</c:v>
                </c:pt>
                <c:pt idx="1">
                  <c:v>0</c:v>
                </c:pt>
                <c:pt idx="2">
                  <c:v>0</c:v>
                </c:pt>
                <c:pt idx="3">
                  <c:v>0</c:v>
                </c:pt>
                <c:pt idx="4">
                  <c:v>0</c:v>
                </c:pt>
                <c:pt idx="5">
                  <c:v>0.45454545454545453</c:v>
                </c:pt>
                <c:pt idx="6">
                  <c:v>0.54545454545454541</c:v>
                </c:pt>
                <c:pt idx="7">
                  <c:v>0</c:v>
                </c:pt>
                <c:pt idx="8">
                  <c:v>0</c:v>
                </c:pt>
              </c:numCache>
            </c:numRef>
          </c:val>
          <c:extLst>
            <c:ext xmlns:c16="http://schemas.microsoft.com/office/drawing/2014/chart" uri="{C3380CC4-5D6E-409C-BE32-E72D297353CC}">
              <c16:uniqueId val="{00000011-5D25-46E0-8ED8-9461F4760364}"/>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noFill/>
    <a:ln w="9525">
      <a:solidFill>
        <a:schemeClr val="tx1"/>
      </a:solidFill>
    </a:ln>
  </c:spPr>
  <c:txPr>
    <a:bodyPr/>
    <a:lstStyle/>
    <a:p>
      <a:pPr>
        <a:defRPr sz="11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stacked"/>
        <c:varyColors val="0"/>
        <c:ser>
          <c:idx val="0"/>
          <c:order val="0"/>
          <c:tx>
            <c:strRef>
              <c:f>[3]Information!$G$3</c:f>
              <c:strCache>
                <c:ptCount val="1"/>
                <c:pt idx="0">
                  <c:v>0 Day - 7 Days</c:v>
                </c:pt>
              </c:strCache>
            </c:strRef>
          </c:tx>
          <c:spPr>
            <a:solidFill>
              <a:schemeClr val="accent3">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[3]Information!$G$18:$G$26</c:f>
              <c:numCache>
                <c:formatCode>General</c:formatCode>
                <c:ptCount val="9"/>
                <c:pt idx="0">
                  <c:v>0</c:v>
                </c:pt>
                <c:pt idx="1">
                  <c:v>0</c:v>
                </c:pt>
                <c:pt idx="2">
                  <c:v>0</c:v>
                </c:pt>
                <c:pt idx="3">
                  <c:v>0</c:v>
                </c:pt>
                <c:pt idx="4">
                  <c:v>0</c:v>
                </c:pt>
                <c:pt idx="5">
                  <c:v>30</c:v>
                </c:pt>
                <c:pt idx="6">
                  <c:v>36</c:v>
                </c:pt>
                <c:pt idx="7">
                  <c:v>0</c:v>
                </c:pt>
                <c:pt idx="8">
                  <c:v>0</c:v>
                </c:pt>
              </c:numCache>
            </c:numRef>
          </c:val>
          <c:extLst>
            <c:ext xmlns:c16="http://schemas.microsoft.com/office/drawing/2014/chart" uri="{C3380CC4-5D6E-409C-BE32-E72D297353CC}">
              <c16:uniqueId val="{00000000-88F6-4C65-BA53-A859C8AF224E}"/>
            </c:ext>
          </c:extLst>
        </c:ser>
        <c:ser>
          <c:idx val="1"/>
          <c:order val="1"/>
          <c:tx>
            <c:strRef>
              <c:f>[3]Information!$H$3</c:f>
              <c:strCache>
                <c:ptCount val="1"/>
                <c:pt idx="0">
                  <c:v>7 Days - 14 Days</c:v>
                </c:pt>
              </c:strCache>
            </c:strRef>
          </c:tx>
          <c:spPr>
            <a:solidFill>
              <a:schemeClr val="accent6">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[3]Information!$H$18:$H$26</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88F6-4C65-BA53-A859C8AF224E}"/>
            </c:ext>
          </c:extLst>
        </c:ser>
        <c:ser>
          <c:idx val="2"/>
          <c:order val="2"/>
          <c:tx>
            <c:strRef>
              <c:f>[3]Information!$I$3</c:f>
              <c:strCache>
                <c:ptCount val="1"/>
                <c:pt idx="0">
                  <c:v>14 Days - 30 Days</c:v>
                </c:pt>
              </c:strCache>
            </c:strRef>
          </c:tx>
          <c:spPr>
            <a:solidFill>
              <a:schemeClr val="accent4">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[3]Information!$I$18:$I$26</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88F6-4C65-BA53-A859C8AF224E}"/>
            </c:ext>
          </c:extLst>
        </c:ser>
        <c:ser>
          <c:idx val="3"/>
          <c:order val="3"/>
          <c:tx>
            <c:strRef>
              <c:f>[3]Information!$J$3</c:f>
              <c:strCache>
                <c:ptCount val="1"/>
                <c:pt idx="0">
                  <c:v>&gt;30 Days</c:v>
                </c:pt>
              </c:strCache>
            </c:strRef>
          </c:tx>
          <c:spPr>
            <a:solidFill>
              <a:schemeClr val="accent2">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[3]Information!$J$18:$J$26</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88F6-4C65-BA53-A859C8AF224E}"/>
            </c:ext>
          </c:extLst>
        </c:ser>
        <c:dLbls>
          <c:showLegendKey val="0"/>
          <c:showVal val="0"/>
          <c:showCatName val="0"/>
          <c:showSerName val="0"/>
          <c:showPercent val="0"/>
          <c:showBubbleSize val="0"/>
        </c:dLbls>
        <c:gapWidth val="75"/>
        <c:shape val="box"/>
        <c:axId val="579341920"/>
        <c:axId val="1"/>
        <c:axId val="0"/>
      </c:bar3DChart>
      <c:catAx>
        <c:axId val="57934192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max val="40"/>
        </c:scaling>
        <c:delete val="0"/>
        <c:axPos val="l"/>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579341920"/>
        <c:crosses val="autoZero"/>
        <c:crossBetween val="between"/>
        <c:majorUnit val="5"/>
      </c:valAx>
      <c:spPr>
        <a:noFill/>
        <a:ln w="25400">
          <a:noFill/>
        </a:ln>
      </c:spPr>
    </c:plotArea>
    <c:legend>
      <c:legendPos val="b"/>
      <c:layout>
        <c:manualLayout>
          <c:xMode val="edge"/>
          <c:yMode val="edge"/>
          <c:x val="5.9324008973065744E-2"/>
          <c:y val="0.86337547595282982"/>
          <c:w val="0.83182286726587473"/>
          <c:h val="7.9787808214114131E-2"/>
        </c:manualLayout>
      </c:layout>
      <c:overlay val="0"/>
      <c:spPr>
        <a:noFill/>
        <a:ln w="25400">
          <a:noFill/>
        </a:ln>
      </c:spPr>
      <c:txPr>
        <a:bodyPr/>
        <a:lstStyle/>
        <a:p>
          <a:pPr>
            <a:defRPr sz="120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0.10440464941882265"/>
          <c:y val="5.0700299630687742E-2"/>
          <c:w val="0.87500022497187846"/>
          <c:h val="0.82190323554688405"/>
        </c:manualLayout>
      </c:layout>
      <c:pie3DChart>
        <c:varyColors val="1"/>
        <c:ser>
          <c:idx val="0"/>
          <c:order val="0"/>
          <c:spPr>
            <a:solidFill>
              <a:schemeClr val="accent3">
                <a:lumMod val="60000"/>
                <a:lumOff val="40000"/>
              </a:schemeClr>
            </a:solidFill>
          </c:spPr>
          <c:explosion val="17"/>
          <c:dPt>
            <c:idx val="0"/>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DA4D-46AB-9A82-108F76FD9BF7}"/>
              </c:ext>
            </c:extLst>
          </c:dPt>
          <c:dPt>
            <c:idx val="1"/>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DA4D-46AB-9A82-108F76FD9BF7}"/>
              </c:ext>
            </c:extLst>
          </c:dPt>
          <c:dPt>
            <c:idx val="2"/>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DA4D-46AB-9A82-108F76FD9BF7}"/>
              </c:ext>
            </c:extLst>
          </c:dPt>
          <c:dPt>
            <c:idx val="3"/>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DA4D-46AB-9A82-108F76FD9BF7}"/>
              </c:ext>
            </c:extLst>
          </c:dPt>
          <c:dLbls>
            <c:dLbl>
              <c:idx val="0"/>
              <c:layout>
                <c:manualLayout>
                  <c:x val="0.32734275272058244"/>
                  <c:y val="0.1703214386850355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A4D-46AB-9A82-108F76FD9BF7}"/>
                </c:ext>
              </c:extLst>
            </c:dLbl>
            <c:dLbl>
              <c:idx val="1"/>
              <c:layout>
                <c:manualLayout>
                  <c:x val="5.2483260410273708E-2"/>
                  <c:y val="3.9813301469715599E-3"/>
                </c:manualLayout>
              </c:layout>
              <c:showLegendKey val="0"/>
              <c:showVal val="1"/>
              <c:showCatName val="1"/>
              <c:showSerName val="0"/>
              <c:showPercent val="0"/>
              <c:showBubbleSize val="0"/>
              <c:extLst>
                <c:ext xmlns:c15="http://schemas.microsoft.com/office/drawing/2012/chart" uri="{CE6537A1-D6FC-4f65-9D91-7224C49458BB}">
                  <c15:layout>
                    <c:manualLayout>
                      <c:w val="0.25922618427429733"/>
                      <c:h val="0.12878456330790564"/>
                    </c:manualLayout>
                  </c15:layout>
                </c:ext>
                <c:ext xmlns:c16="http://schemas.microsoft.com/office/drawing/2014/chart" uri="{C3380CC4-5D6E-409C-BE32-E72D297353CC}">
                  <c16:uniqueId val="{00000003-DA4D-46AB-9A82-108F76FD9BF7}"/>
                </c:ext>
              </c:extLst>
            </c:dLbl>
            <c:dLbl>
              <c:idx val="2"/>
              <c:layout>
                <c:manualLayout>
                  <c:x val="-0.21895168256319905"/>
                  <c:y val="4.794141230085500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A4D-46AB-9A82-108F76FD9BF7}"/>
                </c:ext>
              </c:extLst>
            </c:dLbl>
            <c:dLbl>
              <c:idx val="3"/>
              <c:layout>
                <c:manualLayout>
                  <c:x val="9.7538957630296214E-2"/>
                  <c:y val="-4.4257078484658445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A4D-46AB-9A82-108F76FD9BF7}"/>
                </c:ext>
              </c:extLst>
            </c:dLbl>
            <c:spPr>
              <a:noFill/>
              <a:ln w="25400">
                <a:noFill/>
              </a:ln>
            </c:sp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0 day - 7 days</c:v>
              </c:pt>
              <c:pt idx="1">
                <c:v>7 days - 14 days</c:v>
              </c:pt>
              <c:pt idx="2">
                <c:v>14 days - 30 days</c:v>
              </c:pt>
              <c:pt idx="3">
                <c:v>&gt; 30 days</c:v>
              </c:pt>
            </c:strLit>
          </c:cat>
          <c:val>
            <c:numRef>
              <c:f>[3]Information!$G$5:$J$5</c:f>
              <c:numCache>
                <c:formatCode>General</c:formatCode>
                <c:ptCount val="4"/>
                <c:pt idx="0">
                  <c:v>66</c:v>
                </c:pt>
                <c:pt idx="1">
                  <c:v>0</c:v>
                </c:pt>
                <c:pt idx="2">
                  <c:v>0</c:v>
                </c:pt>
                <c:pt idx="3">
                  <c:v>0</c:v>
                </c:pt>
              </c:numCache>
            </c:numRef>
          </c:val>
          <c:extLst>
            <c:ext xmlns:c16="http://schemas.microsoft.com/office/drawing/2014/chart" uri="{C3380CC4-5D6E-409C-BE32-E72D297353CC}">
              <c16:uniqueId val="{00000008-DA4D-46AB-9A82-108F76FD9BF7}"/>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noFill/>
    <a:ln w="9525">
      <a:solidFill>
        <a:schemeClr val="tx1"/>
      </a:solidFill>
    </a:ln>
  </c:spPr>
  <c:txPr>
    <a:bodyPr/>
    <a:lstStyle/>
    <a:p>
      <a:pPr>
        <a:defRPr sz="12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368055490812131E-2"/>
          <c:y val="0.18947157157980665"/>
          <c:w val="0.95263889018375736"/>
          <c:h val="0.72174493210104784"/>
        </c:manualLayout>
      </c:layout>
      <c:barChart>
        <c:barDir val="col"/>
        <c:grouping val="clustered"/>
        <c:varyColors val="0"/>
        <c:ser>
          <c:idx val="0"/>
          <c:order val="0"/>
          <c:tx>
            <c:strRef>
              <c:f>[3]Information!$FO$3</c:f>
              <c:strCache>
                <c:ptCount val="1"/>
                <c:pt idx="0">
                  <c:v>2016</c:v>
                </c:pt>
              </c:strCache>
            </c:strRef>
          </c:tx>
          <c:spPr>
            <a:ln w="28575" cap="rnd">
              <a:solidFill>
                <a:srgbClr val="00B0F0"/>
              </a:solidFill>
              <a:round/>
            </a:ln>
            <a:effectLst/>
          </c:spPr>
          <c:invertIfNegative val="0"/>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[3]Information!$FN$37:$FN$48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[3]Information!$FO$4:$FO$15</c:f>
              <c:numCache>
                <c:formatCode>General</c:formatCode>
                <c:ptCount val="12"/>
                <c:pt idx="0">
                  <c:v>2</c:v>
                </c:pt>
                <c:pt idx="1">
                  <c:v>3</c:v>
                </c:pt>
                <c:pt idx="2">
                  <c:v>4</c:v>
                </c:pt>
                <c:pt idx="3">
                  <c:v>4</c:v>
                </c:pt>
                <c:pt idx="4">
                  <c:v>3</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4D12-45A5-BEA2-44AED06D274B}"/>
            </c:ext>
          </c:extLst>
        </c:ser>
        <c:ser>
          <c:idx val="1"/>
          <c:order val="1"/>
          <c:tx>
            <c:strRef>
              <c:f>[3]Information!$FP$3</c:f>
              <c:strCache>
                <c:ptCount val="1"/>
                <c:pt idx="0">
                  <c:v>2017</c:v>
                </c:pt>
              </c:strCache>
            </c:strRef>
          </c:tx>
          <c:spPr>
            <a:ln w="28575" cap="rnd">
              <a:solidFill>
                <a:schemeClr val="accent4">
                  <a:lumMod val="75000"/>
                </a:schemeClr>
              </a:solidFill>
              <a:round/>
            </a:ln>
            <a:effectLst/>
          </c:spPr>
          <c:invertIfNegative val="0"/>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[3]Information!$FN$37:$FN$48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[3]Information!$FP$4:$FP$15</c:f>
              <c:numCache>
                <c:formatCode>General</c:formatCode>
                <c:ptCount val="12"/>
                <c:pt idx="0">
                  <c:v>0</c:v>
                </c:pt>
                <c:pt idx="1">
                  <c:v>0</c:v>
                </c:pt>
                <c:pt idx="2">
                  <c:v>1</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4D12-45A5-BEA2-44AED06D274B}"/>
            </c:ext>
          </c:extLst>
        </c:ser>
        <c:ser>
          <c:idx val="4"/>
          <c:order val="4"/>
          <c:tx>
            <c:strRef>
              <c:f>[3]Information!$FQ$20</c:f>
              <c:strCache>
                <c:ptCount val="1"/>
                <c:pt idx="0">
                  <c:v>2018</c:v>
                </c:pt>
              </c:strCache>
            </c:strRef>
          </c:tx>
          <c:spPr>
            <a:solidFill>
              <a:schemeClr val="accent6"/>
            </a:solidFill>
          </c:spPr>
          <c:invertIfNegative val="0"/>
          <c:val>
            <c:numRef>
              <c:f>[3]Information!$FQ$21:$FQ$32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4D12-45A5-BEA2-44AED06D274B}"/>
            </c:ext>
          </c:extLst>
        </c:ser>
        <c:dLbls>
          <c:showLegendKey val="0"/>
          <c:showVal val="0"/>
          <c:showCatName val="0"/>
          <c:showSerName val="0"/>
          <c:showPercent val="0"/>
          <c:showBubbleSize val="0"/>
        </c:dLbls>
        <c:gapWidth val="150"/>
        <c:axId val="160762767"/>
        <c:axId val="1"/>
      </c:barChart>
      <c:lineChart>
        <c:grouping val="standard"/>
        <c:varyColors val="0"/>
        <c:ser>
          <c:idx val="2"/>
          <c:order val="2"/>
          <c:tx>
            <c:strRef>
              <c:f>[3]Information!$FS$36</c:f>
              <c:strCache>
                <c:ptCount val="1"/>
                <c:pt idx="0">
                  <c:v>Akumulasi 2016</c:v>
                </c:pt>
              </c:strCache>
            </c:strRef>
          </c:tx>
          <c:spPr>
            <a:ln>
              <a:solidFill>
                <a:srgbClr val="00B0F0"/>
              </a:solidFill>
            </a:ln>
          </c:spPr>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[3]Information!$FS$4:$FS$15</c:f>
              <c:numCache>
                <c:formatCode>General</c:formatCode>
                <c:ptCount val="12"/>
                <c:pt idx="0">
                  <c:v>2</c:v>
                </c:pt>
                <c:pt idx="1">
                  <c:v>5</c:v>
                </c:pt>
                <c:pt idx="2">
                  <c:v>9</c:v>
                </c:pt>
                <c:pt idx="3">
                  <c:v>13</c:v>
                </c:pt>
                <c:pt idx="4">
                  <c:v>16</c:v>
                </c:pt>
                <c:pt idx="5">
                  <c:v>16</c:v>
                </c:pt>
                <c:pt idx="6">
                  <c:v>16</c:v>
                </c:pt>
                <c:pt idx="7">
                  <c:v>16</c:v>
                </c:pt>
                <c:pt idx="8">
                  <c:v>16</c:v>
                </c:pt>
                <c:pt idx="9">
                  <c:v>16</c:v>
                </c:pt>
                <c:pt idx="10">
                  <c:v>16</c:v>
                </c:pt>
                <c:pt idx="11">
                  <c:v>16</c:v>
                </c:pt>
              </c:numCache>
            </c:numRef>
          </c:val>
          <c:smooth val="0"/>
          <c:extLst>
            <c:ext xmlns:c16="http://schemas.microsoft.com/office/drawing/2014/chart" uri="{C3380CC4-5D6E-409C-BE32-E72D297353CC}">
              <c16:uniqueId val="{00000003-4D12-45A5-BEA2-44AED06D274B}"/>
            </c:ext>
          </c:extLst>
        </c:ser>
        <c:ser>
          <c:idx val="3"/>
          <c:order val="3"/>
          <c:tx>
            <c:strRef>
              <c:f>[3]Information!$FT$36</c:f>
              <c:strCache>
                <c:ptCount val="1"/>
                <c:pt idx="0">
                  <c:v>Akumulasi 2017</c:v>
                </c:pt>
              </c:strCache>
            </c:strRef>
          </c:tx>
          <c:spPr>
            <a:ln>
              <a:solidFill>
                <a:schemeClr val="accent4">
                  <a:lumMod val="75000"/>
                </a:schemeClr>
              </a:solidFill>
            </a:ln>
          </c:spPr>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[3]Information!$FT$4:$FT$15</c:f>
              <c:numCache>
                <c:formatCode>General</c:formatCode>
                <c:ptCount val="12"/>
                <c:pt idx="0">
                  <c:v>0</c:v>
                </c:pt>
                <c:pt idx="1">
                  <c:v>0</c:v>
                </c:pt>
                <c:pt idx="2">
                  <c:v>1</c:v>
                </c:pt>
                <c:pt idx="3">
                  <c:v>1</c:v>
                </c:pt>
                <c:pt idx="4">
                  <c:v>1</c:v>
                </c:pt>
                <c:pt idx="5">
                  <c:v>1</c:v>
                </c:pt>
                <c:pt idx="6">
                  <c:v>1</c:v>
                </c:pt>
                <c:pt idx="7">
                  <c:v>1</c:v>
                </c:pt>
                <c:pt idx="8">
                  <c:v>1</c:v>
                </c:pt>
                <c:pt idx="9">
                  <c:v>1</c:v>
                </c:pt>
                <c:pt idx="10">
                  <c:v>1</c:v>
                </c:pt>
                <c:pt idx="11">
                  <c:v>1</c:v>
                </c:pt>
              </c:numCache>
            </c:numRef>
          </c:val>
          <c:smooth val="0"/>
          <c:extLst>
            <c:ext xmlns:c16="http://schemas.microsoft.com/office/drawing/2014/chart" uri="{C3380CC4-5D6E-409C-BE32-E72D297353CC}">
              <c16:uniqueId val="{00000004-4D12-45A5-BEA2-44AED06D274B}"/>
            </c:ext>
          </c:extLst>
        </c:ser>
        <c:ser>
          <c:idx val="5"/>
          <c:order val="5"/>
          <c:tx>
            <c:strRef>
              <c:f>[3]Information!$FU$20</c:f>
              <c:strCache>
                <c:ptCount val="1"/>
                <c:pt idx="0">
                  <c:v>Akumulasi 2018</c:v>
                </c:pt>
              </c:strCache>
            </c:strRef>
          </c:tx>
          <c:val>
            <c:numRef>
              <c:f>[3]Information!$FU$21:$FU$32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5-4D12-45A5-BEA2-44AED06D274B}"/>
            </c:ext>
          </c:extLst>
        </c:ser>
        <c:dLbls>
          <c:showLegendKey val="0"/>
          <c:showVal val="0"/>
          <c:showCatName val="0"/>
          <c:showSerName val="0"/>
          <c:showPercent val="0"/>
          <c:showBubbleSize val="0"/>
        </c:dLbls>
        <c:marker val="1"/>
        <c:smooth val="0"/>
        <c:axId val="160762767"/>
        <c:axId val="1"/>
      </c:lineChart>
      <c:catAx>
        <c:axId val="16076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1"/>
        <c:axPos val="l"/>
        <c:numFmt formatCode="General" sourceLinked="1"/>
        <c:majorTickMark val="out"/>
        <c:minorTickMark val="none"/>
        <c:tickLblPos val="nextTo"/>
        <c:crossAx val="160762767"/>
        <c:crosses val="autoZero"/>
        <c:crossBetween val="between"/>
      </c:valAx>
      <c:spPr>
        <a:noFill/>
        <a:ln w="25400">
          <a:noFill/>
        </a:ln>
      </c:spPr>
    </c:plotArea>
    <c:legend>
      <c:legendPos val="t"/>
      <c:layout>
        <c:manualLayout>
          <c:xMode val="edge"/>
          <c:yMode val="edge"/>
          <c:x val="9.7237485602069528E-3"/>
          <c:y val="2.6229508196721311E-2"/>
          <c:w val="0.94272882374429068"/>
          <c:h val="0.15570426234191492"/>
        </c:manualLayout>
      </c:layout>
      <c:overlay val="0"/>
      <c:spPr>
        <a:noFill/>
        <a:ln w="25400">
          <a:noFill/>
        </a:ln>
      </c:spPr>
      <c:txPr>
        <a:bodyPr/>
        <a:lstStyle/>
        <a:p>
          <a:pPr>
            <a:defRPr sz="120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[3]Information!$FO$36</c:f>
              <c:strCache>
                <c:ptCount val="1"/>
                <c:pt idx="0">
                  <c:v>2016</c:v>
                </c:pt>
              </c:strCache>
            </c:strRef>
          </c:tx>
          <c:spPr>
            <a:ln w="28575" cap="rnd">
              <a:solidFill>
                <a:schemeClr val="accent5"/>
              </a:solidFill>
              <a:round/>
            </a:ln>
            <a:effectLst/>
          </c:spPr>
          <c:marker>
            <c:symbol val="circle"/>
            <c:size val="5"/>
            <c:spPr>
              <a:solidFill>
                <a:schemeClr val="accent1"/>
              </a:solidFill>
              <a:ln w="9525">
                <a:solidFill>
                  <a:schemeClr val="accent1"/>
                </a:solidFill>
              </a:ln>
              <a:effectLst/>
            </c:spPr>
          </c:marker>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[3]Information!$AF$21:$AF$32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[3]Information!$FS$37:$FS$48</c:f>
              <c:numCache>
                <c:formatCode>General</c:formatCode>
                <c:ptCount val="12"/>
                <c:pt idx="0">
                  <c:v>0</c:v>
                </c:pt>
                <c:pt idx="1">
                  <c:v>1</c:v>
                </c:pt>
                <c:pt idx="2">
                  <c:v>1</c:v>
                </c:pt>
                <c:pt idx="3">
                  <c:v>1</c:v>
                </c:pt>
                <c:pt idx="4">
                  <c:v>3</c:v>
                </c:pt>
                <c:pt idx="5">
                  <c:v>3</c:v>
                </c:pt>
                <c:pt idx="6">
                  <c:v>4</c:v>
                </c:pt>
                <c:pt idx="7">
                  <c:v>6</c:v>
                </c:pt>
                <c:pt idx="8">
                  <c:v>6</c:v>
                </c:pt>
                <c:pt idx="9">
                  <c:v>7</c:v>
                </c:pt>
                <c:pt idx="10">
                  <c:v>8</c:v>
                </c:pt>
                <c:pt idx="11">
                  <c:v>8</c:v>
                </c:pt>
              </c:numCache>
            </c:numRef>
          </c:yVal>
          <c:smooth val="0"/>
          <c:extLst>
            <c:ext xmlns:c16="http://schemas.microsoft.com/office/drawing/2014/chart" uri="{C3380CC4-5D6E-409C-BE32-E72D297353CC}">
              <c16:uniqueId val="{00000000-A01A-4E7D-B1D2-660597A9CE6D}"/>
            </c:ext>
          </c:extLst>
        </c:ser>
        <c:ser>
          <c:idx val="1"/>
          <c:order val="1"/>
          <c:tx>
            <c:strRef>
              <c:f>[3]Information!$FP$36</c:f>
              <c:strCache>
                <c:ptCount val="1"/>
                <c:pt idx="0">
                  <c:v>2017</c:v>
                </c:pt>
              </c:strCache>
            </c:strRef>
          </c:tx>
          <c:spPr>
            <a:ln w="28575" cap="rnd">
              <a:solidFill>
                <a:schemeClr val="accent2"/>
              </a:solidFill>
              <a:round/>
            </a:ln>
            <a:effectLst/>
          </c:spPr>
          <c:marker>
            <c:symbol val="circle"/>
            <c:size val="5"/>
            <c:spPr>
              <a:solidFill>
                <a:schemeClr val="tx1"/>
              </a:solidFill>
              <a:ln w="9525">
                <a:solidFill>
                  <a:srgbClr val="92D050"/>
                </a:solidFill>
              </a:ln>
              <a:effectLst/>
            </c:spPr>
          </c:marker>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[3]Information!$AF$21:$AF$32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[3]Information!$FT$37:$FT$48</c:f>
              <c:numCache>
                <c:formatCode>General</c:formatCode>
                <c:ptCount val="12"/>
                <c:pt idx="0">
                  <c:v>0</c:v>
                </c:pt>
                <c:pt idx="1">
                  <c:v>0</c:v>
                </c:pt>
                <c:pt idx="2">
                  <c:v>6</c:v>
                </c:pt>
                <c:pt idx="3">
                  <c:v>9</c:v>
                </c:pt>
                <c:pt idx="4">
                  <c:v>11</c:v>
                </c:pt>
                <c:pt idx="5">
                  <c:v>11</c:v>
                </c:pt>
                <c:pt idx="6">
                  <c:v>12</c:v>
                </c:pt>
                <c:pt idx="7">
                  <c:v>13</c:v>
                </c:pt>
                <c:pt idx="8">
                  <c:v>13</c:v>
                </c:pt>
                <c:pt idx="9">
                  <c:v>13</c:v>
                </c:pt>
                <c:pt idx="10">
                  <c:v>13</c:v>
                </c:pt>
                <c:pt idx="11">
                  <c:v>13</c:v>
                </c:pt>
              </c:numCache>
            </c:numRef>
          </c:yVal>
          <c:smooth val="0"/>
          <c:extLst>
            <c:ext xmlns:c16="http://schemas.microsoft.com/office/drawing/2014/chart" uri="{C3380CC4-5D6E-409C-BE32-E72D297353CC}">
              <c16:uniqueId val="{00000001-A01A-4E7D-B1D2-660597A9CE6D}"/>
            </c:ext>
          </c:extLst>
        </c:ser>
        <c:ser>
          <c:idx val="2"/>
          <c:order val="2"/>
          <c:tx>
            <c:strRef>
              <c:f>[3]Information!$FQ$36</c:f>
              <c:strCache>
                <c:ptCount val="1"/>
                <c:pt idx="0">
                  <c:v>2018</c:v>
                </c:pt>
              </c:strCache>
            </c:strRef>
          </c:tx>
          <c:spPr>
            <a:ln>
              <a:solidFill>
                <a:schemeClr val="accent6"/>
              </a:solidFill>
            </a:ln>
          </c:spPr>
          <c:xVal>
            <c:numRef>
              <c:f>[3]Information!$FN$37:$FN$48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[3]Information!$FU$37:$FU$48</c:f>
              <c:numCache>
                <c:formatCode>General</c:formatCode>
                <c:ptCount val="12"/>
                <c:pt idx="0">
                  <c:v>1</c:v>
                </c:pt>
                <c:pt idx="1">
                  <c:v>2</c:v>
                </c:pt>
                <c:pt idx="2">
                  <c:v>2</c:v>
                </c:pt>
                <c:pt idx="3">
                  <c:v>3</c:v>
                </c:pt>
                <c:pt idx="4">
                  <c:v>4</c:v>
                </c:pt>
                <c:pt idx="5">
                  <c:v>4</c:v>
                </c:pt>
                <c:pt idx="6">
                  <c:v>4</c:v>
                </c:pt>
                <c:pt idx="7">
                  <c:v>4</c:v>
                </c:pt>
                <c:pt idx="8">
                  <c:v>4</c:v>
                </c:pt>
                <c:pt idx="9">
                  <c:v>4</c:v>
                </c:pt>
                <c:pt idx="10">
                  <c:v>4</c:v>
                </c:pt>
                <c:pt idx="11">
                  <c:v>4</c:v>
                </c:pt>
              </c:numCache>
            </c:numRef>
          </c:yVal>
          <c:smooth val="0"/>
          <c:extLst>
            <c:ext xmlns:c16="http://schemas.microsoft.com/office/drawing/2014/chart" uri="{C3380CC4-5D6E-409C-BE32-E72D297353CC}">
              <c16:uniqueId val="{00000002-A01A-4E7D-B1D2-660597A9CE6D}"/>
            </c:ext>
          </c:extLst>
        </c:ser>
        <c:dLbls>
          <c:showLegendKey val="0"/>
          <c:showVal val="0"/>
          <c:showCatName val="0"/>
          <c:showSerName val="0"/>
          <c:showPercent val="0"/>
          <c:showBubbleSize val="0"/>
        </c:dLbls>
        <c:axId val="160747375"/>
        <c:axId val="1"/>
      </c:scatterChart>
      <c:valAx>
        <c:axId val="160747375"/>
        <c:scaling>
          <c:orientation val="minMax"/>
          <c:max val="12"/>
          <c:min val="1"/>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crossBetween val="midCat"/>
        <c:majorUnit val="1"/>
      </c:valAx>
      <c:valAx>
        <c:axId val="1"/>
        <c:scaling>
          <c:orientation val="minMax"/>
        </c:scaling>
        <c:delete val="1"/>
        <c:axPos val="l"/>
        <c:numFmt formatCode="General" sourceLinked="1"/>
        <c:majorTickMark val="out"/>
        <c:minorTickMark val="none"/>
        <c:tickLblPos val="nextTo"/>
        <c:crossAx val="160747375"/>
        <c:crosses val="autoZero"/>
        <c:crossBetween val="midCat"/>
      </c:valAx>
      <c:spPr>
        <a:noFill/>
        <a:ln w="25400">
          <a:noFill/>
        </a:ln>
      </c:spPr>
    </c:plotArea>
    <c:legend>
      <c:legendPos val="t"/>
      <c:overlay val="0"/>
      <c:spPr>
        <a:noFill/>
        <a:ln w="25400">
          <a:noFill/>
        </a:ln>
      </c:spPr>
      <c:txPr>
        <a:bodyPr/>
        <a:lstStyle/>
        <a:p>
          <a:pPr>
            <a:defRPr sz="120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7.8519288862477096E-2"/>
          <c:y val="3.7483266398929051E-2"/>
          <c:w val="0.89003417025701981"/>
          <c:h val="0.7186393869441019"/>
        </c:manualLayout>
      </c:layout>
      <c:bar3DChart>
        <c:barDir val="col"/>
        <c:grouping val="stacked"/>
        <c:varyColors val="0"/>
        <c:ser>
          <c:idx val="0"/>
          <c:order val="0"/>
          <c:tx>
            <c:strRef>
              <c:f>[4]Information!$V$2</c:f>
              <c:strCache>
                <c:ptCount val="1"/>
                <c:pt idx="0">
                  <c:v>Settled</c:v>
                </c:pt>
              </c:strCache>
            </c:strRef>
          </c:tx>
          <c:spPr>
            <a:solidFill>
              <a:srgbClr val="92D050"/>
            </a:solidFill>
            <a:ln w="25400">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[4]Information!$V$9:$V$17</c:f>
              <c:numCache>
                <c:formatCode>General</c:formatCode>
                <c:ptCount val="9"/>
                <c:pt idx="0">
                  <c:v>4</c:v>
                </c:pt>
                <c:pt idx="1">
                  <c:v>6</c:v>
                </c:pt>
                <c:pt idx="2">
                  <c:v>6</c:v>
                </c:pt>
                <c:pt idx="3">
                  <c:v>1</c:v>
                </c:pt>
                <c:pt idx="4">
                  <c:v>0</c:v>
                </c:pt>
                <c:pt idx="5">
                  <c:v>0</c:v>
                </c:pt>
                <c:pt idx="6">
                  <c:v>2</c:v>
                </c:pt>
                <c:pt idx="7">
                  <c:v>2</c:v>
                </c:pt>
                <c:pt idx="8">
                  <c:v>0</c:v>
                </c:pt>
              </c:numCache>
            </c:numRef>
          </c:val>
          <c:extLst>
            <c:ext xmlns:c16="http://schemas.microsoft.com/office/drawing/2014/chart" uri="{C3380CC4-5D6E-409C-BE32-E72D297353CC}">
              <c16:uniqueId val="{00000000-6A27-4652-849F-B1CB191B1975}"/>
            </c:ext>
          </c:extLst>
        </c:ser>
        <c:ser>
          <c:idx val="1"/>
          <c:order val="1"/>
          <c:tx>
            <c:strRef>
              <c:f>[4]Information!$W$2</c:f>
              <c:strCache>
                <c:ptCount val="1"/>
                <c:pt idx="0">
                  <c:v>Outstanding</c:v>
                </c:pt>
              </c:strCache>
            </c:strRef>
          </c:tx>
          <c:spPr>
            <a:solidFill>
              <a:schemeClr val="bg2">
                <a:lumMod val="75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[4]Information!$W$9:$W$17</c:f>
              <c:numCache>
                <c:formatCode>General</c:formatCode>
                <c:ptCount val="9"/>
                <c:pt idx="0">
                  <c:v>1</c:v>
                </c:pt>
                <c:pt idx="1">
                  <c:v>2</c:v>
                </c:pt>
                <c:pt idx="2">
                  <c:v>1</c:v>
                </c:pt>
                <c:pt idx="3">
                  <c:v>0</c:v>
                </c:pt>
                <c:pt idx="4">
                  <c:v>0</c:v>
                </c:pt>
                <c:pt idx="5">
                  <c:v>0</c:v>
                </c:pt>
                <c:pt idx="6">
                  <c:v>0</c:v>
                </c:pt>
                <c:pt idx="7">
                  <c:v>2</c:v>
                </c:pt>
                <c:pt idx="8">
                  <c:v>0</c:v>
                </c:pt>
              </c:numCache>
            </c:numRef>
          </c:val>
          <c:extLst>
            <c:ext xmlns:c16="http://schemas.microsoft.com/office/drawing/2014/chart" uri="{C3380CC4-5D6E-409C-BE32-E72D297353CC}">
              <c16:uniqueId val="{00000001-6A27-4652-849F-B1CB191B1975}"/>
            </c:ext>
          </c:extLst>
        </c:ser>
        <c:dLbls>
          <c:showLegendKey val="0"/>
          <c:showVal val="0"/>
          <c:showCatName val="0"/>
          <c:showSerName val="0"/>
          <c:showPercent val="0"/>
          <c:showBubbleSize val="0"/>
        </c:dLbls>
        <c:gapWidth val="75"/>
        <c:shape val="box"/>
        <c:axId val="731443608"/>
        <c:axId val="1"/>
        <c:axId val="0"/>
      </c:bar3DChart>
      <c:catAx>
        <c:axId val="7314436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731443608"/>
        <c:crosses val="autoZero"/>
        <c:crossBetween val="between"/>
      </c:valAx>
      <c:spPr>
        <a:noFill/>
        <a:ln w="25400">
          <a:noFill/>
        </a:ln>
      </c:spPr>
    </c:plotArea>
    <c:legend>
      <c:legendPos val="b"/>
      <c:overlay val="0"/>
      <c:spPr>
        <a:noFill/>
        <a:ln w="25400">
          <a:noFill/>
        </a:ln>
      </c:spPr>
      <c:txPr>
        <a:bodyPr/>
        <a:lstStyle/>
        <a:p>
          <a:pPr>
            <a:defRPr sz="1200" b="0" i="0" u="none" strike="noStrike" baseline="0">
              <a:solidFill>
                <a:srgbClr val="333333"/>
              </a:solidFill>
              <a:latin typeface="Calibri"/>
              <a:ea typeface="Calibri"/>
              <a:cs typeface="Calibri"/>
            </a:defRPr>
          </a:pPr>
          <a:endParaRPr lang="en-US"/>
        </a:p>
      </c:txPr>
    </c:legend>
    <c:plotVisOnly val="1"/>
    <c:dispBlanksAs val="gap"/>
    <c:showDLblsOverMax val="0"/>
  </c:chart>
  <c:spPr>
    <a:noFill/>
    <a:ln w="9525">
      <a:solidFill>
        <a:schemeClr val="tx1"/>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stacked"/>
        <c:varyColors val="0"/>
        <c:ser>
          <c:idx val="0"/>
          <c:order val="0"/>
          <c:tx>
            <c:v>Polis ACA Limit Cabang</c:v>
          </c:tx>
          <c:spPr>
            <a:solidFill>
              <a:schemeClr val="accent1">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[4]Information!$Y$9:$Y$17</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68F5-46E2-B234-B6F8ECD6CD26}"/>
            </c:ext>
          </c:extLst>
        </c:ser>
        <c:ser>
          <c:idx val="2"/>
          <c:order val="1"/>
          <c:tx>
            <c:v>Polis Inward Limit Cabang</c:v>
          </c:tx>
          <c:spPr>
            <a:solidFill>
              <a:schemeClr val="accent1">
                <a:lumMod val="20000"/>
                <a:lumOff val="8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[4]Information!$AA$9:$AA$17</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68F5-46E2-B234-B6F8ECD6CD26}"/>
            </c:ext>
          </c:extLst>
        </c:ser>
        <c:ser>
          <c:idx val="1"/>
          <c:order val="2"/>
          <c:tx>
            <c:v>Polis ACA Limit HO</c:v>
          </c:tx>
          <c:spPr>
            <a:solidFill>
              <a:schemeClr val="accent6">
                <a:lumMod val="40000"/>
                <a:lumOff val="6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[4]Information!$Z$9:$Z$17</c:f>
              <c:numCache>
                <c:formatCode>General</c:formatCode>
                <c:ptCount val="9"/>
                <c:pt idx="0">
                  <c:v>3</c:v>
                </c:pt>
                <c:pt idx="1">
                  <c:v>3</c:v>
                </c:pt>
                <c:pt idx="2">
                  <c:v>3</c:v>
                </c:pt>
                <c:pt idx="3">
                  <c:v>1</c:v>
                </c:pt>
                <c:pt idx="4">
                  <c:v>0</c:v>
                </c:pt>
                <c:pt idx="5">
                  <c:v>0</c:v>
                </c:pt>
                <c:pt idx="6">
                  <c:v>2</c:v>
                </c:pt>
                <c:pt idx="7">
                  <c:v>4</c:v>
                </c:pt>
                <c:pt idx="8">
                  <c:v>0</c:v>
                </c:pt>
              </c:numCache>
            </c:numRef>
          </c:val>
          <c:extLst>
            <c:ext xmlns:c16="http://schemas.microsoft.com/office/drawing/2014/chart" uri="{C3380CC4-5D6E-409C-BE32-E72D297353CC}">
              <c16:uniqueId val="{00000002-68F5-46E2-B234-B6F8ECD6CD26}"/>
            </c:ext>
          </c:extLst>
        </c:ser>
        <c:ser>
          <c:idx val="3"/>
          <c:order val="3"/>
          <c:tx>
            <c:v>Polis Inward Limit HO</c:v>
          </c:tx>
          <c:spPr>
            <a:solidFill>
              <a:schemeClr val="accent6">
                <a:lumMod val="20000"/>
                <a:lumOff val="80000"/>
              </a:schemeClr>
            </a:solidFill>
            <a:ln w="25400">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[4]Information!$AB$9:$AB$17</c:f>
              <c:numCache>
                <c:formatCode>General</c:formatCode>
                <c:ptCount val="9"/>
                <c:pt idx="0">
                  <c:v>2</c:v>
                </c:pt>
                <c:pt idx="1">
                  <c:v>5</c:v>
                </c:pt>
                <c:pt idx="2">
                  <c:v>4</c:v>
                </c:pt>
                <c:pt idx="3">
                  <c:v>0</c:v>
                </c:pt>
                <c:pt idx="4">
                  <c:v>0</c:v>
                </c:pt>
                <c:pt idx="5">
                  <c:v>0</c:v>
                </c:pt>
                <c:pt idx="6">
                  <c:v>0</c:v>
                </c:pt>
                <c:pt idx="7">
                  <c:v>0</c:v>
                </c:pt>
                <c:pt idx="8">
                  <c:v>0</c:v>
                </c:pt>
              </c:numCache>
            </c:numRef>
          </c:val>
          <c:extLst>
            <c:ext xmlns:c16="http://schemas.microsoft.com/office/drawing/2014/chart" uri="{C3380CC4-5D6E-409C-BE32-E72D297353CC}">
              <c16:uniqueId val="{00000003-68F5-46E2-B234-B6F8ECD6CD26}"/>
            </c:ext>
          </c:extLst>
        </c:ser>
        <c:dLbls>
          <c:showLegendKey val="0"/>
          <c:showVal val="0"/>
          <c:showCatName val="0"/>
          <c:showSerName val="0"/>
          <c:showPercent val="0"/>
          <c:showBubbleSize val="0"/>
        </c:dLbls>
        <c:gapWidth val="75"/>
        <c:shape val="box"/>
        <c:axId val="731446232"/>
        <c:axId val="1"/>
        <c:axId val="0"/>
      </c:bar3DChart>
      <c:catAx>
        <c:axId val="731446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731446232"/>
        <c:crosses val="autoZero"/>
        <c:crossBetween val="between"/>
      </c:valAx>
      <c:spPr>
        <a:noFill/>
        <a:ln w="25400">
          <a:noFill/>
        </a:ln>
      </c:spPr>
    </c:plotArea>
    <c:legend>
      <c:legendPos val="b"/>
      <c:overlay val="0"/>
      <c:spPr>
        <a:noFill/>
        <a:ln w="25400">
          <a:noFill/>
        </a:ln>
      </c:spPr>
      <c:txPr>
        <a:bodyPr/>
        <a:lstStyle/>
        <a:p>
          <a:pPr>
            <a:defRPr sz="900" b="0" i="0" u="none" strike="noStrike" baseline="0">
              <a:solidFill>
                <a:srgbClr val="333333"/>
              </a:solidFill>
              <a:latin typeface="Calibri"/>
              <a:ea typeface="Calibri"/>
              <a:cs typeface="Calibri"/>
            </a:defRPr>
          </a:pPr>
          <a:endParaRPr lang="en-US"/>
        </a:p>
      </c:txPr>
    </c:legend>
    <c:plotVisOnly val="1"/>
    <c:dispBlanksAs val="gap"/>
    <c:showDLblsOverMax val="0"/>
  </c:chart>
  <c:spPr>
    <a:noFill/>
    <a:ln w="9525">
      <a:solidFill>
        <a:schemeClr val="tx1"/>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0.13869036370453694"/>
          <c:y val="0.19473113381488472"/>
          <c:w val="0.79119070116235468"/>
          <c:h val="0.75378842107546473"/>
        </c:manualLayout>
      </c:layout>
      <c:pie3DChart>
        <c:varyColors val="1"/>
        <c:ser>
          <c:idx val="0"/>
          <c:order val="0"/>
          <c:explosion val="26"/>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444-4B98-BF72-091D6E12C49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444-4B98-BF72-091D6E12C49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444-4B98-BF72-091D6E12C49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444-4B98-BF72-091D6E12C49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444-4B98-BF72-091D6E12C496}"/>
              </c:ext>
            </c:extLst>
          </c:dPt>
          <c:dPt>
            <c:idx val="5"/>
            <c:bubble3D val="0"/>
            <c:explosion val="21"/>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E444-4B98-BF72-091D6E12C496}"/>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E444-4B98-BF72-091D6E12C496}"/>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E444-4B98-BF72-091D6E12C496}"/>
              </c:ext>
            </c:extLst>
          </c:dPt>
          <c:dPt>
            <c:idx val="8"/>
            <c:bubble3D val="0"/>
            <c:extLst>
              <c:ext xmlns:c16="http://schemas.microsoft.com/office/drawing/2014/chart" uri="{C3380CC4-5D6E-409C-BE32-E72D297353CC}">
                <c16:uniqueId val="{00000010-E444-4B98-BF72-091D6E12C496}"/>
              </c:ext>
            </c:extLst>
          </c:dPt>
          <c:dLbls>
            <c:dLbl>
              <c:idx val="0"/>
              <c:layout>
                <c:manualLayout>
                  <c:x val="-3.1143208658472843E-3"/>
                  <c:y val="-2.785873285806906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444-4B98-BF72-091D6E12C496}"/>
                </c:ext>
              </c:extLst>
            </c:dLbl>
            <c:dLbl>
              <c:idx val="1"/>
              <c:layout>
                <c:manualLayout>
                  <c:x val="2.5455418072740908E-2"/>
                  <c:y val="1.0661343388414476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444-4B98-BF72-091D6E12C496}"/>
                </c:ext>
              </c:extLst>
            </c:dLbl>
            <c:dLbl>
              <c:idx val="2"/>
              <c:layout>
                <c:manualLayout>
                  <c:x val="0.16366796650903834"/>
                  <c:y val="-6.471559654938190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444-4B98-BF72-091D6E12C496}"/>
                </c:ext>
              </c:extLst>
            </c:dLbl>
            <c:dLbl>
              <c:idx val="4"/>
              <c:layout>
                <c:manualLayout>
                  <c:x val="-7.0145319584244234E-2"/>
                  <c:y val="-9.711448699064153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E444-4B98-BF72-091D6E12C496}"/>
                </c:ext>
              </c:extLst>
            </c:dLbl>
            <c:dLbl>
              <c:idx val="5"/>
              <c:layout>
                <c:manualLayout>
                  <c:x val="-0.20584527230429478"/>
                  <c:y val="-8.333315772578389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E444-4B98-BF72-091D6E12C496}"/>
                </c:ext>
              </c:extLst>
            </c:dLbl>
            <c:dLbl>
              <c:idx val="6"/>
              <c:layout>
                <c:manualLayout>
                  <c:x val="-0.10544523092365186"/>
                  <c:y val="-0.2168286119487592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E444-4B98-BF72-091D6E12C496}"/>
                </c:ext>
              </c:extLst>
            </c:dLbl>
            <c:dLbl>
              <c:idx val="7"/>
              <c:layout>
                <c:manualLayout>
                  <c:x val="-7.2695913010873636E-2"/>
                  <c:y val="-2.141032370953630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E444-4B98-BF72-091D6E12C496}"/>
                </c:ext>
              </c:extLst>
            </c:dLbl>
            <c:dLbl>
              <c:idx val="8"/>
              <c:layout>
                <c:manualLayout>
                  <c:x val="-0.11163326148718952"/>
                  <c:y val="-4.362442743158505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E444-4B98-BF72-091D6E12C496}"/>
                </c:ext>
              </c:extLst>
            </c:dLbl>
            <c:spPr>
              <a:noFill/>
              <a:ln w="25400">
                <a:noFill/>
              </a:ln>
            </c:sp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f>[4]Information!$K$18:$K$26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[4]Information!$M$18:$M$26</c:f>
              <c:numCache>
                <c:formatCode>General</c:formatCode>
                <c:ptCount val="9"/>
                <c:pt idx="0">
                  <c:v>0.1111111111111111</c:v>
                </c:pt>
                <c:pt idx="1">
                  <c:v>0.22222222222222221</c:v>
                </c:pt>
                <c:pt idx="2">
                  <c:v>0.33333333333333331</c:v>
                </c:pt>
                <c:pt idx="3">
                  <c:v>0</c:v>
                </c:pt>
                <c:pt idx="4">
                  <c:v>0</c:v>
                </c:pt>
                <c:pt idx="5">
                  <c:v>0</c:v>
                </c:pt>
                <c:pt idx="6">
                  <c:v>0</c:v>
                </c:pt>
                <c:pt idx="7">
                  <c:v>0.33333333333333331</c:v>
                </c:pt>
                <c:pt idx="8">
                  <c:v>0</c:v>
                </c:pt>
              </c:numCache>
            </c:numRef>
          </c:val>
          <c:extLst>
            <c:ext xmlns:c16="http://schemas.microsoft.com/office/drawing/2014/chart" uri="{C3380CC4-5D6E-409C-BE32-E72D297353CC}">
              <c16:uniqueId val="{00000011-E444-4B98-BF72-091D6E12C496}"/>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noFill/>
    <a:ln w="9525">
      <a:solidFill>
        <a:schemeClr val="tx1"/>
      </a:solidFill>
    </a:ln>
  </c:spPr>
  <c:txPr>
    <a:bodyPr/>
    <a:lstStyle/>
    <a:p>
      <a:pPr>
        <a:defRPr sz="12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stacked"/>
        <c:varyColors val="0"/>
        <c:ser>
          <c:idx val="0"/>
          <c:order val="0"/>
          <c:tx>
            <c:strRef>
              <c:f>[4]Information!$G$3</c:f>
              <c:strCache>
                <c:ptCount val="1"/>
                <c:pt idx="0">
                  <c:v>0 Day - 7 Days</c:v>
                </c:pt>
              </c:strCache>
            </c:strRef>
          </c:tx>
          <c:spPr>
            <a:solidFill>
              <a:schemeClr val="accent3">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[4]Information!$G$18:$G$26</c:f>
              <c:numCache>
                <c:formatCode>General</c:formatCode>
                <c:ptCount val="9"/>
                <c:pt idx="0">
                  <c:v>1</c:v>
                </c:pt>
                <c:pt idx="1">
                  <c:v>2</c:v>
                </c:pt>
                <c:pt idx="2">
                  <c:v>2</c:v>
                </c:pt>
                <c:pt idx="3">
                  <c:v>0</c:v>
                </c:pt>
                <c:pt idx="4">
                  <c:v>0</c:v>
                </c:pt>
                <c:pt idx="5">
                  <c:v>0</c:v>
                </c:pt>
                <c:pt idx="6">
                  <c:v>0</c:v>
                </c:pt>
                <c:pt idx="7">
                  <c:v>3</c:v>
                </c:pt>
                <c:pt idx="8">
                  <c:v>0</c:v>
                </c:pt>
              </c:numCache>
            </c:numRef>
          </c:val>
          <c:extLst>
            <c:ext xmlns:c16="http://schemas.microsoft.com/office/drawing/2014/chart" uri="{C3380CC4-5D6E-409C-BE32-E72D297353CC}">
              <c16:uniqueId val="{00000000-3ADF-47AF-A179-405A6E73B1F9}"/>
            </c:ext>
          </c:extLst>
        </c:ser>
        <c:ser>
          <c:idx val="1"/>
          <c:order val="1"/>
          <c:tx>
            <c:strRef>
              <c:f>[4]Information!$H$3</c:f>
              <c:strCache>
                <c:ptCount val="1"/>
                <c:pt idx="0">
                  <c:v>7 Days - 14 Days</c:v>
                </c:pt>
              </c:strCache>
            </c:strRef>
          </c:tx>
          <c:spPr>
            <a:solidFill>
              <a:schemeClr val="accent6">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[4]Information!$H$18:$H$26</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3ADF-47AF-A179-405A6E73B1F9}"/>
            </c:ext>
          </c:extLst>
        </c:ser>
        <c:ser>
          <c:idx val="2"/>
          <c:order val="2"/>
          <c:tx>
            <c:strRef>
              <c:f>[4]Information!$I$3</c:f>
              <c:strCache>
                <c:ptCount val="1"/>
                <c:pt idx="0">
                  <c:v>14 Days - 30 Days</c:v>
                </c:pt>
              </c:strCache>
            </c:strRef>
          </c:tx>
          <c:spPr>
            <a:solidFill>
              <a:schemeClr val="accent4">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[4]Information!$I$18:$I$26</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3ADF-47AF-A179-405A6E73B1F9}"/>
            </c:ext>
          </c:extLst>
        </c:ser>
        <c:ser>
          <c:idx val="3"/>
          <c:order val="3"/>
          <c:tx>
            <c:strRef>
              <c:f>[4]Information!$J$3</c:f>
              <c:strCache>
                <c:ptCount val="1"/>
                <c:pt idx="0">
                  <c:v>&gt;30 Days</c:v>
                </c:pt>
              </c:strCache>
            </c:strRef>
          </c:tx>
          <c:spPr>
            <a:solidFill>
              <a:schemeClr val="accent2">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[4]Information!$J$18:$J$26</c:f>
              <c:numCache>
                <c:formatCode>General</c:formatCode>
                <c:ptCount val="9"/>
                <c:pt idx="0">
                  <c:v>0</c:v>
                </c:pt>
                <c:pt idx="1">
                  <c:v>0</c:v>
                </c:pt>
                <c:pt idx="2">
                  <c:v>1</c:v>
                </c:pt>
                <c:pt idx="3">
                  <c:v>0</c:v>
                </c:pt>
                <c:pt idx="4">
                  <c:v>0</c:v>
                </c:pt>
                <c:pt idx="5">
                  <c:v>0</c:v>
                </c:pt>
                <c:pt idx="6">
                  <c:v>0</c:v>
                </c:pt>
                <c:pt idx="7">
                  <c:v>0</c:v>
                </c:pt>
                <c:pt idx="8">
                  <c:v>0</c:v>
                </c:pt>
              </c:numCache>
            </c:numRef>
          </c:val>
          <c:extLst>
            <c:ext xmlns:c16="http://schemas.microsoft.com/office/drawing/2014/chart" uri="{C3380CC4-5D6E-409C-BE32-E72D297353CC}">
              <c16:uniqueId val="{00000003-3ADF-47AF-A179-405A6E73B1F9}"/>
            </c:ext>
          </c:extLst>
        </c:ser>
        <c:dLbls>
          <c:showLegendKey val="0"/>
          <c:showVal val="0"/>
          <c:showCatName val="0"/>
          <c:showSerName val="0"/>
          <c:showPercent val="0"/>
          <c:showBubbleSize val="0"/>
        </c:dLbls>
        <c:gapWidth val="75"/>
        <c:shape val="box"/>
        <c:axId val="731434752"/>
        <c:axId val="1"/>
        <c:axId val="0"/>
      </c:bar3DChart>
      <c:catAx>
        <c:axId val="73143475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max val="8"/>
        </c:scaling>
        <c:delete val="0"/>
        <c:axPos val="l"/>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731434752"/>
        <c:crosses val="autoZero"/>
        <c:crossBetween val="between"/>
        <c:majorUnit val="1"/>
      </c:valAx>
      <c:spPr>
        <a:noFill/>
        <a:ln w="25400">
          <a:noFill/>
        </a:ln>
      </c:spPr>
    </c:plotArea>
    <c:legend>
      <c:legendPos val="b"/>
      <c:layout>
        <c:manualLayout>
          <c:xMode val="edge"/>
          <c:yMode val="edge"/>
          <c:x val="5.9324008973065744E-2"/>
          <c:y val="0.86337547595282982"/>
          <c:w val="0.83182286726587473"/>
          <c:h val="7.9787808214114131E-2"/>
        </c:manualLayout>
      </c:layout>
      <c:overlay val="0"/>
      <c:spPr>
        <a:noFill/>
        <a:ln w="25400">
          <a:noFill/>
        </a:ln>
      </c:spPr>
      <c:txPr>
        <a:bodyPr/>
        <a:lstStyle/>
        <a:p>
          <a:pPr>
            <a:defRPr sz="120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0.10440464941882265"/>
          <c:y val="5.0700299630687742E-2"/>
          <c:w val="0.87500022497187846"/>
          <c:h val="0.82190323554688405"/>
        </c:manualLayout>
      </c:layout>
      <c:pie3DChart>
        <c:varyColors val="1"/>
        <c:ser>
          <c:idx val="0"/>
          <c:order val="0"/>
          <c:spPr>
            <a:solidFill>
              <a:schemeClr val="accent3">
                <a:lumMod val="60000"/>
                <a:lumOff val="40000"/>
              </a:schemeClr>
            </a:solidFill>
          </c:spPr>
          <c:explosion val="12"/>
          <c:dPt>
            <c:idx val="0"/>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1F48-4993-811F-1061BA802F53}"/>
              </c:ext>
            </c:extLst>
          </c:dPt>
          <c:dPt>
            <c:idx val="1"/>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1F48-4993-811F-1061BA802F53}"/>
              </c:ext>
            </c:extLst>
          </c:dPt>
          <c:dPt>
            <c:idx val="2"/>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1F48-4993-811F-1061BA802F53}"/>
              </c:ext>
            </c:extLst>
          </c:dPt>
          <c:dPt>
            <c:idx val="3"/>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1F48-4993-811F-1061BA802F53}"/>
              </c:ext>
            </c:extLst>
          </c:dPt>
          <c:dLbls>
            <c:dLbl>
              <c:idx val="0"/>
              <c:layout>
                <c:manualLayout>
                  <c:x val="-2.4271416585258859E-2"/>
                  <c:y val="-0.1560064628364234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48-4993-811F-1061BA802F53}"/>
                </c:ext>
              </c:extLst>
            </c:dLbl>
            <c:dLbl>
              <c:idx val="1"/>
              <c:layout>
                <c:manualLayout>
                  <c:x val="2.4027923723561943E-2"/>
                  <c:y val="3.057937303231871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48-4993-811F-1061BA802F53}"/>
                </c:ext>
              </c:extLst>
            </c:dLbl>
            <c:dLbl>
              <c:idx val="2"/>
              <c:layout>
                <c:manualLayout>
                  <c:x val="-0.11482807066157689"/>
                  <c:y val="7.614750864910697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F48-4993-811F-1061BA802F53}"/>
                </c:ext>
              </c:extLst>
            </c:dLbl>
            <c:dLbl>
              <c:idx val="3"/>
              <c:layout>
                <c:manualLayout>
                  <c:x val="0.22197558745553655"/>
                  <c:y val="0"/>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F48-4993-811F-1061BA802F53}"/>
                </c:ext>
              </c:extLst>
            </c:dLbl>
            <c:spPr>
              <a:noFill/>
              <a:ln w="25400">
                <a:noFill/>
              </a:ln>
            </c:spPr>
            <c:txPr>
              <a:bodyPr/>
              <a:lstStyle/>
              <a:p>
                <a:pPr>
                  <a:defRPr sz="1200"/>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0 day - 7 days</c:v>
              </c:pt>
              <c:pt idx="1">
                <c:v>7 days - 14 days</c:v>
              </c:pt>
              <c:pt idx="2">
                <c:v>14 days - 30 days</c:v>
              </c:pt>
              <c:pt idx="3">
                <c:v>&gt; 30 days</c:v>
              </c:pt>
            </c:strLit>
          </c:cat>
          <c:val>
            <c:numRef>
              <c:f>[4]Information!$G$5:$J$5</c:f>
              <c:numCache>
                <c:formatCode>General</c:formatCode>
                <c:ptCount val="4"/>
                <c:pt idx="0">
                  <c:v>8</c:v>
                </c:pt>
                <c:pt idx="1">
                  <c:v>0</c:v>
                </c:pt>
                <c:pt idx="2">
                  <c:v>0</c:v>
                </c:pt>
                <c:pt idx="3">
                  <c:v>1</c:v>
                </c:pt>
              </c:numCache>
            </c:numRef>
          </c:val>
          <c:extLst>
            <c:ext xmlns:c16="http://schemas.microsoft.com/office/drawing/2014/chart" uri="{C3380CC4-5D6E-409C-BE32-E72D297353CC}">
              <c16:uniqueId val="{00000008-1F48-4993-811F-1061BA802F53}"/>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noFill/>
    <a:ln w="9525">
      <a:solidFill>
        <a:schemeClr val="tx1"/>
      </a:solidFill>
    </a:ln>
  </c:spPr>
  <c:txPr>
    <a:bodyPr/>
    <a:lstStyle/>
    <a:p>
      <a:pPr>
        <a:defRPr sz="11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141591036263538E-2"/>
          <c:y val="0.19369817047435314"/>
          <c:w val="0.95171681792747287"/>
          <c:h val="0.71553781325689825"/>
        </c:manualLayout>
      </c:layout>
      <c:barChart>
        <c:barDir val="col"/>
        <c:grouping val="clustered"/>
        <c:varyColors val="0"/>
        <c:ser>
          <c:idx val="0"/>
          <c:order val="0"/>
          <c:tx>
            <c:strRef>
              <c:f>[4]Information!$FO$3</c:f>
              <c:strCache>
                <c:ptCount val="1"/>
                <c:pt idx="0">
                  <c:v>2016</c:v>
                </c:pt>
              </c:strCache>
            </c:strRef>
          </c:tx>
          <c:spPr>
            <a:ln w="28575" cap="rnd">
              <a:solidFill>
                <a:srgbClr val="00B0F0"/>
              </a:solidFill>
              <a:round/>
            </a:ln>
            <a:effectLst/>
          </c:spPr>
          <c:invertIfNegative val="0"/>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Ref>
              <c:f>[4]Information!$FO$4:$FO$15</c:f>
              <c:numCache>
                <c:formatCode>General</c:formatCode>
                <c:ptCount val="12"/>
                <c:pt idx="0">
                  <c:v>2</c:v>
                </c:pt>
                <c:pt idx="1">
                  <c:v>0</c:v>
                </c:pt>
                <c:pt idx="2">
                  <c:v>0</c:v>
                </c:pt>
                <c:pt idx="3">
                  <c:v>0</c:v>
                </c:pt>
                <c:pt idx="4">
                  <c:v>0</c:v>
                </c:pt>
                <c:pt idx="5">
                  <c:v>0</c:v>
                </c:pt>
                <c:pt idx="6">
                  <c:v>0</c:v>
                </c:pt>
                <c:pt idx="7">
                  <c:v>0</c:v>
                </c:pt>
                <c:pt idx="8">
                  <c:v>1</c:v>
                </c:pt>
                <c:pt idx="9">
                  <c:v>0</c:v>
                </c:pt>
                <c:pt idx="10">
                  <c:v>0</c:v>
                </c:pt>
                <c:pt idx="11">
                  <c:v>1</c:v>
                </c:pt>
              </c:numCache>
            </c:numRef>
          </c:val>
          <c:extLst>
            <c:ext xmlns:c16="http://schemas.microsoft.com/office/drawing/2014/chart" uri="{C3380CC4-5D6E-409C-BE32-E72D297353CC}">
              <c16:uniqueId val="{00000000-F411-473B-A2D4-4D21F39DC228}"/>
            </c:ext>
          </c:extLst>
        </c:ser>
        <c:ser>
          <c:idx val="1"/>
          <c:order val="1"/>
          <c:tx>
            <c:strRef>
              <c:f>[4]Information!$FP$3</c:f>
              <c:strCache>
                <c:ptCount val="1"/>
                <c:pt idx="0">
                  <c:v>2017</c:v>
                </c:pt>
              </c:strCache>
            </c:strRef>
          </c:tx>
          <c:spPr>
            <a:ln w="28575" cap="rnd">
              <a:solidFill>
                <a:schemeClr val="accent4">
                  <a:lumMod val="75000"/>
                </a:schemeClr>
              </a:solidFill>
              <a:round/>
            </a:ln>
            <a:effectLst/>
          </c:spPr>
          <c:invertIfNegative val="0"/>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Ref>
              <c:f>[4]Information!$FP$4:$FP$15</c:f>
              <c:numCache>
                <c:formatCode>General</c:formatCode>
                <c:ptCount val="12"/>
                <c:pt idx="0">
                  <c:v>0</c:v>
                </c:pt>
                <c:pt idx="1">
                  <c:v>0</c:v>
                </c:pt>
                <c:pt idx="2">
                  <c:v>0</c:v>
                </c:pt>
                <c:pt idx="3">
                  <c:v>1</c:v>
                </c:pt>
                <c:pt idx="4">
                  <c:v>0</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1-F411-473B-A2D4-4D21F39DC228}"/>
            </c:ext>
          </c:extLst>
        </c:ser>
        <c:ser>
          <c:idx val="4"/>
          <c:order val="4"/>
          <c:tx>
            <c:strRef>
              <c:f>[4]Information!$FQ$20</c:f>
              <c:strCache>
                <c:ptCount val="1"/>
                <c:pt idx="0">
                  <c:v>2018</c:v>
                </c:pt>
              </c:strCache>
            </c:strRef>
          </c:tx>
          <c:spPr>
            <a:solidFill>
              <a:schemeClr val="accent6"/>
            </a:solidFill>
            <a:ln>
              <a:solidFill>
                <a:schemeClr val="tx1"/>
              </a:solidFill>
            </a:ln>
          </c:spPr>
          <c:invertIfNegative val="0"/>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Ref>
              <c:f>[4]Information!$FQ$21:$FQ$32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F411-473B-A2D4-4D21F39DC228}"/>
            </c:ext>
          </c:extLst>
        </c:ser>
        <c:dLbls>
          <c:showLegendKey val="0"/>
          <c:showVal val="0"/>
          <c:showCatName val="0"/>
          <c:showSerName val="0"/>
          <c:showPercent val="0"/>
          <c:showBubbleSize val="0"/>
        </c:dLbls>
        <c:gapWidth val="150"/>
        <c:axId val="2127639359"/>
        <c:axId val="1"/>
      </c:barChart>
      <c:lineChart>
        <c:grouping val="standard"/>
        <c:varyColors val="0"/>
        <c:ser>
          <c:idx val="2"/>
          <c:order val="2"/>
          <c:tx>
            <c:strRef>
              <c:f>[4]Information!$FS$36</c:f>
              <c:strCache>
                <c:ptCount val="1"/>
                <c:pt idx="0">
                  <c:v>Akumulasi 2016</c:v>
                </c:pt>
              </c:strCache>
            </c:strRef>
          </c:tx>
          <c:spPr>
            <a:ln>
              <a:solidFill>
                <a:srgbClr val="00B0F0"/>
              </a:solidFill>
            </a:ln>
          </c:spPr>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[4]Information!$FS$4:$FS$15</c:f>
              <c:numCache>
                <c:formatCode>General</c:formatCode>
                <c:ptCount val="12"/>
                <c:pt idx="0">
                  <c:v>2</c:v>
                </c:pt>
                <c:pt idx="1">
                  <c:v>2</c:v>
                </c:pt>
                <c:pt idx="2">
                  <c:v>2</c:v>
                </c:pt>
                <c:pt idx="3">
                  <c:v>2</c:v>
                </c:pt>
                <c:pt idx="4">
                  <c:v>2</c:v>
                </c:pt>
                <c:pt idx="5">
                  <c:v>2</c:v>
                </c:pt>
                <c:pt idx="6">
                  <c:v>2</c:v>
                </c:pt>
                <c:pt idx="7">
                  <c:v>2</c:v>
                </c:pt>
                <c:pt idx="8">
                  <c:v>3</c:v>
                </c:pt>
                <c:pt idx="9">
                  <c:v>3</c:v>
                </c:pt>
                <c:pt idx="10">
                  <c:v>3</c:v>
                </c:pt>
                <c:pt idx="11">
                  <c:v>4</c:v>
                </c:pt>
              </c:numCache>
            </c:numRef>
          </c:val>
          <c:smooth val="0"/>
          <c:extLst>
            <c:ext xmlns:c16="http://schemas.microsoft.com/office/drawing/2014/chart" uri="{C3380CC4-5D6E-409C-BE32-E72D297353CC}">
              <c16:uniqueId val="{00000003-F411-473B-A2D4-4D21F39DC228}"/>
            </c:ext>
          </c:extLst>
        </c:ser>
        <c:ser>
          <c:idx val="3"/>
          <c:order val="3"/>
          <c:tx>
            <c:strRef>
              <c:f>[4]Information!$FT$36</c:f>
              <c:strCache>
                <c:ptCount val="1"/>
                <c:pt idx="0">
                  <c:v>Akumulasi 2017</c:v>
                </c:pt>
              </c:strCache>
            </c:strRef>
          </c:tx>
          <c:spPr>
            <a:ln>
              <a:solidFill>
                <a:schemeClr val="accent4">
                  <a:lumMod val="75000"/>
                </a:schemeClr>
              </a:solidFill>
            </a:ln>
          </c:spPr>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[4]Information!$FT$4:$FT$15</c:f>
              <c:numCache>
                <c:formatCode>General</c:formatCode>
                <c:ptCount val="12"/>
                <c:pt idx="0">
                  <c:v>0</c:v>
                </c:pt>
                <c:pt idx="1">
                  <c:v>0</c:v>
                </c:pt>
                <c:pt idx="2">
                  <c:v>0</c:v>
                </c:pt>
                <c:pt idx="3">
                  <c:v>1</c:v>
                </c:pt>
                <c:pt idx="4">
                  <c:v>1</c:v>
                </c:pt>
                <c:pt idx="5">
                  <c:v>1</c:v>
                </c:pt>
                <c:pt idx="6">
                  <c:v>1</c:v>
                </c:pt>
                <c:pt idx="7">
                  <c:v>2</c:v>
                </c:pt>
                <c:pt idx="8">
                  <c:v>2</c:v>
                </c:pt>
                <c:pt idx="9">
                  <c:v>2</c:v>
                </c:pt>
                <c:pt idx="10">
                  <c:v>2</c:v>
                </c:pt>
                <c:pt idx="11">
                  <c:v>2</c:v>
                </c:pt>
              </c:numCache>
            </c:numRef>
          </c:val>
          <c:smooth val="0"/>
          <c:extLst>
            <c:ext xmlns:c16="http://schemas.microsoft.com/office/drawing/2014/chart" uri="{C3380CC4-5D6E-409C-BE32-E72D297353CC}">
              <c16:uniqueId val="{00000004-F411-473B-A2D4-4D21F39DC228}"/>
            </c:ext>
          </c:extLst>
        </c:ser>
        <c:ser>
          <c:idx val="5"/>
          <c:order val="5"/>
          <c:tx>
            <c:strRef>
              <c:f>[4]Information!$FU$20</c:f>
              <c:strCache>
                <c:ptCount val="1"/>
                <c:pt idx="0">
                  <c:v>Akumulasi 2018</c:v>
                </c:pt>
              </c:strCache>
            </c:strRef>
          </c:tx>
          <c:val>
            <c:numRef>
              <c:f>[4]Information!$FU$21:$FU$32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5-F411-473B-A2D4-4D21F39DC228}"/>
            </c:ext>
          </c:extLst>
        </c:ser>
        <c:dLbls>
          <c:showLegendKey val="0"/>
          <c:showVal val="0"/>
          <c:showCatName val="0"/>
          <c:showSerName val="0"/>
          <c:showPercent val="0"/>
          <c:showBubbleSize val="0"/>
        </c:dLbls>
        <c:marker val="1"/>
        <c:smooth val="0"/>
        <c:axId val="2127639359"/>
        <c:axId val="1"/>
      </c:lineChart>
      <c:catAx>
        <c:axId val="212763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1"/>
        <c:axPos val="l"/>
        <c:numFmt formatCode="General" sourceLinked="1"/>
        <c:majorTickMark val="out"/>
        <c:minorTickMark val="none"/>
        <c:tickLblPos val="nextTo"/>
        <c:crossAx val="2127639359"/>
        <c:crosses val="autoZero"/>
        <c:crossBetween val="between"/>
      </c:valAx>
      <c:spPr>
        <a:noFill/>
        <a:ln w="25400">
          <a:noFill/>
        </a:ln>
      </c:spPr>
    </c:plotArea>
    <c:legend>
      <c:legendPos val="t"/>
      <c:layout>
        <c:manualLayout>
          <c:xMode val="edge"/>
          <c:yMode val="edge"/>
          <c:x val="1.4519911629751317E-2"/>
          <c:y val="2.6229508196721311E-2"/>
          <c:w val="0.91910113097392054"/>
          <c:h val="0.17059727453482432"/>
        </c:manualLayout>
      </c:layout>
      <c:overlay val="0"/>
      <c:spPr>
        <a:noFill/>
        <a:ln w="25400">
          <a:noFill/>
        </a:ln>
      </c:spPr>
      <c:txPr>
        <a:bodyPr/>
        <a:lstStyle/>
        <a:p>
          <a:pPr>
            <a:defRPr sz="120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[4]Information!$FO$36</c:f>
              <c:strCache>
                <c:ptCount val="1"/>
                <c:pt idx="0">
                  <c:v>2016</c:v>
                </c:pt>
              </c:strCache>
            </c:strRef>
          </c:tx>
          <c:spPr>
            <a:ln w="28575" cap="rnd">
              <a:solidFill>
                <a:schemeClr val="accent5"/>
              </a:solidFill>
              <a:round/>
            </a:ln>
            <a:effectLst/>
          </c:spPr>
          <c:marker>
            <c:symbol val="circle"/>
            <c:size val="5"/>
            <c:spPr>
              <a:solidFill>
                <a:schemeClr val="accent1"/>
              </a:solidFill>
              <a:ln w="9525">
                <a:solidFill>
                  <a:schemeClr val="accent1"/>
                </a:solidFill>
              </a:ln>
              <a:effectLst/>
            </c:spPr>
          </c:marker>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[4]Information!$AF$21:$AF$32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[4]Information!$FS$37:$FS$48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0-91DB-4737-85CB-7A7DBCE4E7F7}"/>
            </c:ext>
          </c:extLst>
        </c:ser>
        <c:ser>
          <c:idx val="1"/>
          <c:order val="1"/>
          <c:tx>
            <c:strRef>
              <c:f>[4]Information!$FP$36</c:f>
              <c:strCache>
                <c:ptCount val="1"/>
                <c:pt idx="0">
                  <c:v>2017</c:v>
                </c:pt>
              </c:strCache>
            </c:strRef>
          </c:tx>
          <c:spPr>
            <a:ln w="28575" cap="rnd">
              <a:solidFill>
                <a:schemeClr val="accent2"/>
              </a:solidFill>
              <a:round/>
            </a:ln>
            <a:effectLst/>
          </c:spPr>
          <c:marker>
            <c:symbol val="circle"/>
            <c:size val="5"/>
            <c:spPr>
              <a:solidFill>
                <a:schemeClr val="tx1"/>
              </a:solidFill>
              <a:ln w="9525">
                <a:solidFill>
                  <a:srgbClr val="92D050"/>
                </a:solidFill>
              </a:ln>
              <a:effectLst/>
            </c:spPr>
          </c:marker>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[4]Information!$AF$21:$AF$32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[4]Information!$FT$37:$FT$48</c:f>
              <c:numCache>
                <c:formatCode>General</c:formatCode>
                <c:ptCount val="12"/>
                <c:pt idx="0">
                  <c:v>0</c:v>
                </c:pt>
                <c:pt idx="1">
                  <c:v>1</c:v>
                </c:pt>
                <c:pt idx="2">
                  <c:v>1</c:v>
                </c:pt>
                <c:pt idx="3">
                  <c:v>1</c:v>
                </c:pt>
                <c:pt idx="4">
                  <c:v>1</c:v>
                </c:pt>
                <c:pt idx="5">
                  <c:v>1</c:v>
                </c:pt>
                <c:pt idx="6">
                  <c:v>2</c:v>
                </c:pt>
                <c:pt idx="7">
                  <c:v>2</c:v>
                </c:pt>
                <c:pt idx="8">
                  <c:v>3</c:v>
                </c:pt>
                <c:pt idx="9">
                  <c:v>4</c:v>
                </c:pt>
                <c:pt idx="10">
                  <c:v>4</c:v>
                </c:pt>
                <c:pt idx="11">
                  <c:v>4</c:v>
                </c:pt>
              </c:numCache>
            </c:numRef>
          </c:yVal>
          <c:smooth val="0"/>
          <c:extLst>
            <c:ext xmlns:c16="http://schemas.microsoft.com/office/drawing/2014/chart" uri="{C3380CC4-5D6E-409C-BE32-E72D297353CC}">
              <c16:uniqueId val="{00000001-91DB-4737-85CB-7A7DBCE4E7F7}"/>
            </c:ext>
          </c:extLst>
        </c:ser>
        <c:ser>
          <c:idx val="2"/>
          <c:order val="2"/>
          <c:tx>
            <c:strRef>
              <c:f>[4]Information!$FQ$20</c:f>
              <c:strCache>
                <c:ptCount val="1"/>
                <c:pt idx="0">
                  <c:v>2018</c:v>
                </c:pt>
              </c:strCache>
            </c:strRef>
          </c:tx>
          <c:spPr>
            <a:ln>
              <a:solidFill>
                <a:schemeClr val="accent6"/>
              </a:solidFill>
            </a:ln>
          </c:spPr>
          <c:xVal>
            <c:numRef>
              <c:f>[4]Information!$FN$21:$FN$32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[4]Information!$FU$37:$FU$48</c:f>
              <c:numCache>
                <c:formatCode>General</c:formatCode>
                <c:ptCount val="12"/>
                <c:pt idx="0">
                  <c:v>1</c:v>
                </c:pt>
                <c:pt idx="1">
                  <c:v>1</c:v>
                </c:pt>
                <c:pt idx="2">
                  <c:v>1</c:v>
                </c:pt>
                <c:pt idx="3">
                  <c:v>2</c:v>
                </c:pt>
                <c:pt idx="4">
                  <c:v>2</c:v>
                </c:pt>
                <c:pt idx="5">
                  <c:v>2</c:v>
                </c:pt>
                <c:pt idx="6">
                  <c:v>2</c:v>
                </c:pt>
                <c:pt idx="7">
                  <c:v>2</c:v>
                </c:pt>
                <c:pt idx="8">
                  <c:v>2</c:v>
                </c:pt>
                <c:pt idx="9">
                  <c:v>2</c:v>
                </c:pt>
                <c:pt idx="10">
                  <c:v>2</c:v>
                </c:pt>
                <c:pt idx="11">
                  <c:v>2</c:v>
                </c:pt>
              </c:numCache>
            </c:numRef>
          </c:yVal>
          <c:smooth val="0"/>
          <c:extLst>
            <c:ext xmlns:c16="http://schemas.microsoft.com/office/drawing/2014/chart" uri="{C3380CC4-5D6E-409C-BE32-E72D297353CC}">
              <c16:uniqueId val="{00000002-91DB-4737-85CB-7A7DBCE4E7F7}"/>
            </c:ext>
          </c:extLst>
        </c:ser>
        <c:dLbls>
          <c:showLegendKey val="0"/>
          <c:showVal val="0"/>
          <c:showCatName val="0"/>
          <c:showSerName val="0"/>
          <c:showPercent val="0"/>
          <c:showBubbleSize val="0"/>
        </c:dLbls>
        <c:axId val="2127640191"/>
        <c:axId val="1"/>
      </c:scatterChart>
      <c:valAx>
        <c:axId val="2127640191"/>
        <c:scaling>
          <c:orientation val="minMax"/>
          <c:max val="12"/>
          <c:min val="1"/>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crossBetween val="midCat"/>
        <c:majorUnit val="1"/>
      </c:valAx>
      <c:valAx>
        <c:axId val="1"/>
        <c:scaling>
          <c:orientation val="minMax"/>
        </c:scaling>
        <c:delete val="1"/>
        <c:axPos val="l"/>
        <c:numFmt formatCode="General" sourceLinked="1"/>
        <c:majorTickMark val="out"/>
        <c:minorTickMark val="none"/>
        <c:tickLblPos val="nextTo"/>
        <c:crossAx val="2127640191"/>
        <c:crosses val="autoZero"/>
        <c:crossBetween val="midCat"/>
      </c:valAx>
      <c:spPr>
        <a:noFill/>
        <a:ln w="25400">
          <a:noFill/>
        </a:ln>
      </c:spPr>
    </c:plotArea>
    <c:legend>
      <c:legendPos val="t"/>
      <c:overlay val="0"/>
      <c:spPr>
        <a:noFill/>
        <a:ln w="25400">
          <a:noFill/>
        </a:ln>
      </c:spPr>
      <c:txPr>
        <a:bodyPr/>
        <a:lstStyle/>
        <a:p>
          <a:pPr>
            <a:defRPr sz="120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7.8519288862477096E-2"/>
          <c:y val="3.7483266398929051E-2"/>
          <c:w val="0.89003417025701981"/>
          <c:h val="0.7186393869441019"/>
        </c:manualLayout>
      </c:layout>
      <c:bar3DChart>
        <c:barDir val="col"/>
        <c:grouping val="stacked"/>
        <c:varyColors val="0"/>
        <c:ser>
          <c:idx val="0"/>
          <c:order val="0"/>
          <c:tx>
            <c:strRef>
              <c:f>[5]Information!$V$2</c:f>
              <c:strCache>
                <c:ptCount val="1"/>
                <c:pt idx="0">
                  <c:v>Settled</c:v>
                </c:pt>
              </c:strCache>
            </c:strRef>
          </c:tx>
          <c:spPr>
            <a:solidFill>
              <a:srgbClr val="92D050"/>
            </a:solidFill>
            <a:ln w="25400">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[5]Information!$X$9:$X$17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[5]Information!$V$9:$V$17</c:f>
              <c:numCache>
                <c:formatCode>General</c:formatCode>
                <c:ptCount val="9"/>
                <c:pt idx="0">
                  <c:v>19</c:v>
                </c:pt>
                <c:pt idx="1">
                  <c:v>15</c:v>
                </c:pt>
                <c:pt idx="2">
                  <c:v>7</c:v>
                </c:pt>
                <c:pt idx="3">
                  <c:v>28</c:v>
                </c:pt>
                <c:pt idx="4">
                  <c:v>26</c:v>
                </c:pt>
                <c:pt idx="5">
                  <c:v>30</c:v>
                </c:pt>
                <c:pt idx="6">
                  <c:v>21</c:v>
                </c:pt>
                <c:pt idx="7">
                  <c:v>27</c:v>
                </c:pt>
                <c:pt idx="8">
                  <c:v>4</c:v>
                </c:pt>
              </c:numCache>
            </c:numRef>
          </c:val>
          <c:extLst>
            <c:ext xmlns:c16="http://schemas.microsoft.com/office/drawing/2014/chart" uri="{C3380CC4-5D6E-409C-BE32-E72D297353CC}">
              <c16:uniqueId val="{00000000-1063-4423-8DC0-CC5E3EFEB831}"/>
            </c:ext>
          </c:extLst>
        </c:ser>
        <c:ser>
          <c:idx val="1"/>
          <c:order val="1"/>
          <c:tx>
            <c:strRef>
              <c:f>[5]Information!$W$2</c:f>
              <c:strCache>
                <c:ptCount val="1"/>
                <c:pt idx="0">
                  <c:v>Outstanding</c:v>
                </c:pt>
              </c:strCache>
            </c:strRef>
          </c:tx>
          <c:spPr>
            <a:solidFill>
              <a:schemeClr val="bg2">
                <a:lumMod val="75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[5]Information!$X$9:$X$17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[5]Information!$W$9:$W$17</c:f>
              <c:numCache>
                <c:formatCode>General</c:formatCode>
                <c:ptCount val="9"/>
                <c:pt idx="0">
                  <c:v>0</c:v>
                </c:pt>
                <c:pt idx="1">
                  <c:v>0</c:v>
                </c:pt>
                <c:pt idx="2">
                  <c:v>0</c:v>
                </c:pt>
                <c:pt idx="3">
                  <c:v>0</c:v>
                </c:pt>
                <c:pt idx="4">
                  <c:v>0</c:v>
                </c:pt>
                <c:pt idx="5">
                  <c:v>0</c:v>
                </c:pt>
                <c:pt idx="6">
                  <c:v>1</c:v>
                </c:pt>
                <c:pt idx="7">
                  <c:v>4</c:v>
                </c:pt>
                <c:pt idx="8">
                  <c:v>3</c:v>
                </c:pt>
              </c:numCache>
            </c:numRef>
          </c:val>
          <c:extLst>
            <c:ext xmlns:c16="http://schemas.microsoft.com/office/drawing/2014/chart" uri="{C3380CC4-5D6E-409C-BE32-E72D297353CC}">
              <c16:uniqueId val="{00000001-1063-4423-8DC0-CC5E3EFEB831}"/>
            </c:ext>
          </c:extLst>
        </c:ser>
        <c:dLbls>
          <c:showLegendKey val="0"/>
          <c:showVal val="0"/>
          <c:showCatName val="0"/>
          <c:showSerName val="0"/>
          <c:showPercent val="0"/>
          <c:showBubbleSize val="0"/>
        </c:dLbls>
        <c:gapWidth val="75"/>
        <c:shape val="box"/>
        <c:axId val="731144480"/>
        <c:axId val="1"/>
        <c:axId val="0"/>
      </c:bar3DChart>
      <c:catAx>
        <c:axId val="7311444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731144480"/>
        <c:crosses val="autoZero"/>
        <c:crossBetween val="between"/>
      </c:valAx>
      <c:spPr>
        <a:noFill/>
        <a:ln w="25400">
          <a:noFill/>
        </a:ln>
      </c:spPr>
    </c:plotArea>
    <c:legend>
      <c:legendPos val="b"/>
      <c:overlay val="0"/>
      <c:spPr>
        <a:noFill/>
        <a:ln w="25400">
          <a:noFill/>
        </a:ln>
      </c:spPr>
      <c:txPr>
        <a:bodyPr/>
        <a:lstStyle/>
        <a:p>
          <a:pPr>
            <a:defRPr sz="1200" b="0" i="0" u="none" strike="noStrike" baseline="0">
              <a:solidFill>
                <a:srgbClr val="333333"/>
              </a:solidFill>
              <a:latin typeface="Calibri"/>
              <a:ea typeface="Calibri"/>
              <a:cs typeface="Calibri"/>
            </a:defRPr>
          </a:pPr>
          <a:endParaRPr lang="en-US"/>
        </a:p>
      </c:txPr>
    </c:legend>
    <c:plotVisOnly val="1"/>
    <c:dispBlanksAs val="gap"/>
    <c:showDLblsOverMax val="0"/>
  </c:chart>
  <c:spPr>
    <a:noFill/>
    <a:ln w="9525">
      <a:solidFill>
        <a:schemeClr val="tx1"/>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stacked"/>
        <c:varyColors val="0"/>
        <c:ser>
          <c:idx val="0"/>
          <c:order val="0"/>
          <c:tx>
            <c:v>Polis ACA Limit Cabang</c:v>
          </c:tx>
          <c:spPr>
            <a:solidFill>
              <a:schemeClr val="accent1">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[5]Information!$X$9:$X$17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[5]Information!$Y$9:$Y$17</c:f>
              <c:numCache>
                <c:formatCode>General</c:formatCode>
                <c:ptCount val="9"/>
                <c:pt idx="0">
                  <c:v>17</c:v>
                </c:pt>
                <c:pt idx="1">
                  <c:v>7</c:v>
                </c:pt>
                <c:pt idx="2">
                  <c:v>6</c:v>
                </c:pt>
                <c:pt idx="3">
                  <c:v>24</c:v>
                </c:pt>
                <c:pt idx="4">
                  <c:v>18</c:v>
                </c:pt>
                <c:pt idx="5">
                  <c:v>15</c:v>
                </c:pt>
                <c:pt idx="6">
                  <c:v>15</c:v>
                </c:pt>
                <c:pt idx="7">
                  <c:v>27</c:v>
                </c:pt>
                <c:pt idx="8">
                  <c:v>4</c:v>
                </c:pt>
              </c:numCache>
            </c:numRef>
          </c:val>
          <c:extLst>
            <c:ext xmlns:c16="http://schemas.microsoft.com/office/drawing/2014/chart" uri="{C3380CC4-5D6E-409C-BE32-E72D297353CC}">
              <c16:uniqueId val="{00000000-D556-4A02-BF9C-A349F150A312}"/>
            </c:ext>
          </c:extLst>
        </c:ser>
        <c:ser>
          <c:idx val="2"/>
          <c:order val="1"/>
          <c:tx>
            <c:v>Polis Inward Limit Cabang</c:v>
          </c:tx>
          <c:spPr>
            <a:solidFill>
              <a:schemeClr val="accent1">
                <a:lumMod val="20000"/>
                <a:lumOff val="8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[5]Information!$X$9:$X$17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[5]Information!$AA$9:$AA$17</c:f>
              <c:numCache>
                <c:formatCode>General</c:formatCode>
                <c:ptCount val="9"/>
                <c:pt idx="0">
                  <c:v>0</c:v>
                </c:pt>
                <c:pt idx="1">
                  <c:v>0</c:v>
                </c:pt>
                <c:pt idx="2">
                  <c:v>0</c:v>
                </c:pt>
                <c:pt idx="3">
                  <c:v>0</c:v>
                </c:pt>
                <c:pt idx="4">
                  <c:v>6</c:v>
                </c:pt>
                <c:pt idx="5">
                  <c:v>6</c:v>
                </c:pt>
                <c:pt idx="6">
                  <c:v>5</c:v>
                </c:pt>
                <c:pt idx="7">
                  <c:v>0</c:v>
                </c:pt>
                <c:pt idx="8">
                  <c:v>2</c:v>
                </c:pt>
              </c:numCache>
            </c:numRef>
          </c:val>
          <c:extLst>
            <c:ext xmlns:c16="http://schemas.microsoft.com/office/drawing/2014/chart" uri="{C3380CC4-5D6E-409C-BE32-E72D297353CC}">
              <c16:uniqueId val="{00000001-D556-4A02-BF9C-A349F150A312}"/>
            </c:ext>
          </c:extLst>
        </c:ser>
        <c:ser>
          <c:idx val="1"/>
          <c:order val="2"/>
          <c:tx>
            <c:v>Polis ACA Limit HO</c:v>
          </c:tx>
          <c:spPr>
            <a:solidFill>
              <a:schemeClr val="accent6">
                <a:lumMod val="40000"/>
                <a:lumOff val="6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[5]Information!$X$9:$X$17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[5]Information!$Z$9:$Z$17</c:f>
              <c:numCache>
                <c:formatCode>General</c:formatCode>
                <c:ptCount val="9"/>
                <c:pt idx="0">
                  <c:v>2</c:v>
                </c:pt>
                <c:pt idx="1">
                  <c:v>8</c:v>
                </c:pt>
                <c:pt idx="2">
                  <c:v>1</c:v>
                </c:pt>
                <c:pt idx="3">
                  <c:v>4</c:v>
                </c:pt>
                <c:pt idx="4">
                  <c:v>2</c:v>
                </c:pt>
                <c:pt idx="5">
                  <c:v>6</c:v>
                </c:pt>
                <c:pt idx="6">
                  <c:v>1</c:v>
                </c:pt>
                <c:pt idx="7">
                  <c:v>4</c:v>
                </c:pt>
                <c:pt idx="8">
                  <c:v>1</c:v>
                </c:pt>
              </c:numCache>
            </c:numRef>
          </c:val>
          <c:extLst>
            <c:ext xmlns:c16="http://schemas.microsoft.com/office/drawing/2014/chart" uri="{C3380CC4-5D6E-409C-BE32-E72D297353CC}">
              <c16:uniqueId val="{00000002-D556-4A02-BF9C-A349F150A312}"/>
            </c:ext>
          </c:extLst>
        </c:ser>
        <c:ser>
          <c:idx val="3"/>
          <c:order val="3"/>
          <c:tx>
            <c:v>Polis Inward Limit HO</c:v>
          </c:tx>
          <c:spPr>
            <a:solidFill>
              <a:schemeClr val="accent6">
                <a:lumMod val="20000"/>
                <a:lumOff val="80000"/>
              </a:schemeClr>
            </a:solidFill>
            <a:ln w="25400">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[5]Information!$X$9:$X$17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[5]Information!$AB$9:$AB$17</c:f>
              <c:numCache>
                <c:formatCode>General</c:formatCode>
                <c:ptCount val="9"/>
                <c:pt idx="0">
                  <c:v>0</c:v>
                </c:pt>
                <c:pt idx="1">
                  <c:v>0</c:v>
                </c:pt>
                <c:pt idx="2">
                  <c:v>0</c:v>
                </c:pt>
                <c:pt idx="3">
                  <c:v>0</c:v>
                </c:pt>
                <c:pt idx="4">
                  <c:v>0</c:v>
                </c:pt>
                <c:pt idx="5">
                  <c:v>3</c:v>
                </c:pt>
                <c:pt idx="6">
                  <c:v>1</c:v>
                </c:pt>
                <c:pt idx="7">
                  <c:v>0</c:v>
                </c:pt>
                <c:pt idx="8">
                  <c:v>0</c:v>
                </c:pt>
              </c:numCache>
            </c:numRef>
          </c:val>
          <c:extLst>
            <c:ext xmlns:c16="http://schemas.microsoft.com/office/drawing/2014/chart" uri="{C3380CC4-5D6E-409C-BE32-E72D297353CC}">
              <c16:uniqueId val="{00000003-D556-4A02-BF9C-A349F150A312}"/>
            </c:ext>
          </c:extLst>
        </c:ser>
        <c:dLbls>
          <c:showLegendKey val="0"/>
          <c:showVal val="0"/>
          <c:showCatName val="0"/>
          <c:showSerName val="0"/>
          <c:showPercent val="0"/>
          <c:showBubbleSize val="0"/>
        </c:dLbls>
        <c:gapWidth val="75"/>
        <c:shape val="box"/>
        <c:axId val="731151368"/>
        <c:axId val="1"/>
        <c:axId val="0"/>
      </c:bar3DChart>
      <c:catAx>
        <c:axId val="73115136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731151368"/>
        <c:crosses val="autoZero"/>
        <c:crossBetween val="between"/>
      </c:valAx>
      <c:spPr>
        <a:noFill/>
        <a:ln w="25400">
          <a:noFill/>
        </a:ln>
      </c:spPr>
    </c:plotArea>
    <c:legend>
      <c:legendPos val="b"/>
      <c:overlay val="0"/>
      <c:spPr>
        <a:noFill/>
        <a:ln w="25400">
          <a:noFill/>
        </a:ln>
      </c:spPr>
      <c:txPr>
        <a:bodyPr/>
        <a:lstStyle/>
        <a:p>
          <a:pPr>
            <a:defRPr sz="900" b="0" i="0" u="none" strike="noStrike" baseline="0">
              <a:solidFill>
                <a:srgbClr val="333333"/>
              </a:solidFill>
              <a:latin typeface="Calibri"/>
              <a:ea typeface="Calibri"/>
              <a:cs typeface="Calibri"/>
            </a:defRPr>
          </a:pPr>
          <a:endParaRPr lang="en-US"/>
        </a:p>
      </c:txPr>
    </c:legend>
    <c:plotVisOnly val="1"/>
    <c:dispBlanksAs val="gap"/>
    <c:showDLblsOverMax val="0"/>
  </c:chart>
  <c:spPr>
    <a:noFill/>
    <a:ln w="9525">
      <a:solidFill>
        <a:schemeClr val="tx1"/>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0.13869036370453694"/>
          <c:y val="0.19473113381488472"/>
          <c:w val="0.79119070116235468"/>
          <c:h val="0.75378842107546473"/>
        </c:manualLayout>
      </c:layout>
      <c:pie3DChart>
        <c:varyColors val="1"/>
        <c:ser>
          <c:idx val="0"/>
          <c:order val="0"/>
          <c:explosion val="26"/>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9EF-4FE7-A640-FFA90CA634B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9EF-4FE7-A640-FFA90CA634B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9EF-4FE7-A640-FFA90CA634B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9EF-4FE7-A640-FFA90CA634B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9EF-4FE7-A640-FFA90CA634B8}"/>
              </c:ext>
            </c:extLst>
          </c:dPt>
          <c:dPt>
            <c:idx val="5"/>
            <c:bubble3D val="0"/>
            <c:explosion val="21"/>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E9EF-4FE7-A640-FFA90CA634B8}"/>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E9EF-4FE7-A640-FFA90CA634B8}"/>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E9EF-4FE7-A640-FFA90CA634B8}"/>
              </c:ext>
            </c:extLst>
          </c:dPt>
          <c:dPt>
            <c:idx val="8"/>
            <c:bubble3D val="0"/>
            <c:extLst>
              <c:ext xmlns:c16="http://schemas.microsoft.com/office/drawing/2014/chart" uri="{C3380CC4-5D6E-409C-BE32-E72D297353CC}">
                <c16:uniqueId val="{00000010-E9EF-4FE7-A640-FFA90CA634B8}"/>
              </c:ext>
            </c:extLst>
          </c:dPt>
          <c:dLbls>
            <c:dLbl>
              <c:idx val="0"/>
              <c:layout>
                <c:manualLayout>
                  <c:x val="-0.23330693663292087"/>
                  <c:y val="7.824726134585289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9EF-4FE7-A640-FFA90CA634B8}"/>
                </c:ext>
              </c:extLst>
            </c:dLbl>
            <c:dLbl>
              <c:idx val="1"/>
              <c:layout>
                <c:manualLayout>
                  <c:x val="-3.1824967718434238E-2"/>
                  <c:y val="-7.645323404341898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9EF-4FE7-A640-FFA90CA634B8}"/>
                </c:ext>
              </c:extLst>
            </c:dLbl>
            <c:dLbl>
              <c:idx val="2"/>
              <c:layout>
                <c:manualLayout>
                  <c:x val="9.9707124548873913E-2"/>
                  <c:y val="-8.94223687155384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9EF-4FE7-A640-FFA90CA634B8}"/>
                </c:ext>
              </c:extLst>
            </c:dLbl>
            <c:dLbl>
              <c:idx val="3"/>
              <c:layout>
                <c:manualLayout>
                  <c:x val="0.23647086009977239"/>
                  <c:y val="-2.611487517548678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9EF-4FE7-A640-FFA90CA634B8}"/>
                </c:ext>
              </c:extLst>
            </c:dLbl>
            <c:dLbl>
              <c:idx val="4"/>
              <c:layout>
                <c:manualLayout>
                  <c:x val="0.3560857682800419"/>
                  <c:y val="6.43244013103013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E9EF-4FE7-A640-FFA90CA634B8}"/>
                </c:ext>
              </c:extLst>
            </c:dLbl>
            <c:dLbl>
              <c:idx val="6"/>
              <c:layout>
                <c:manualLayout>
                  <c:x val="1.4474028085531407E-2"/>
                  <c:y val="0.1395916092928797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E9EF-4FE7-A640-FFA90CA634B8}"/>
                </c:ext>
              </c:extLst>
            </c:dLbl>
            <c:dLbl>
              <c:idx val="7"/>
              <c:layout>
                <c:manualLayout>
                  <c:x val="-7.2695913010873636E-2"/>
                  <c:y val="-2.141032370953630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E9EF-4FE7-A640-FFA90CA634B8}"/>
                </c:ext>
              </c:extLst>
            </c:dLbl>
            <c:dLbl>
              <c:idx val="8"/>
              <c:layout>
                <c:manualLayout>
                  <c:x val="-0.40372160621716296"/>
                  <c:y val="2.606034710777431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E9EF-4FE7-A640-FFA90CA634B8}"/>
                </c:ext>
              </c:extLst>
            </c:dLbl>
            <c:spPr>
              <a:noFill/>
              <a:ln w="25400">
                <a:noFill/>
              </a:ln>
            </c:sp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f>[5]Information!$K$18:$K$26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[5]Information!$M$18:$M$26</c:f>
              <c:numCache>
                <c:formatCode>General</c:formatCode>
                <c:ptCount val="9"/>
                <c:pt idx="0">
                  <c:v>0</c:v>
                </c:pt>
                <c:pt idx="1">
                  <c:v>0</c:v>
                </c:pt>
                <c:pt idx="2">
                  <c:v>0</c:v>
                </c:pt>
                <c:pt idx="3">
                  <c:v>0</c:v>
                </c:pt>
                <c:pt idx="4">
                  <c:v>0</c:v>
                </c:pt>
                <c:pt idx="5">
                  <c:v>0</c:v>
                </c:pt>
                <c:pt idx="6">
                  <c:v>0.33333333333333331</c:v>
                </c:pt>
                <c:pt idx="7">
                  <c:v>0.16666666666666666</c:v>
                </c:pt>
                <c:pt idx="8">
                  <c:v>0.5</c:v>
                </c:pt>
              </c:numCache>
            </c:numRef>
          </c:val>
          <c:extLst>
            <c:ext xmlns:c16="http://schemas.microsoft.com/office/drawing/2014/chart" uri="{C3380CC4-5D6E-409C-BE32-E72D297353CC}">
              <c16:uniqueId val="{00000011-E9EF-4FE7-A640-FFA90CA634B8}"/>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noFill/>
    <a:ln w="9525">
      <a:solidFill>
        <a:schemeClr val="tx1"/>
      </a:solidFill>
    </a:ln>
  </c:spPr>
  <c:txPr>
    <a:bodyPr/>
    <a:lstStyle/>
    <a:p>
      <a:pPr>
        <a:defRPr sz="12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stacked"/>
        <c:varyColors val="0"/>
        <c:ser>
          <c:idx val="0"/>
          <c:order val="0"/>
          <c:tx>
            <c:strRef>
              <c:f>[5]Information!$G$3</c:f>
              <c:strCache>
                <c:ptCount val="1"/>
                <c:pt idx="0">
                  <c:v>0 Day - 7 Days</c:v>
                </c:pt>
              </c:strCache>
            </c:strRef>
          </c:tx>
          <c:spPr>
            <a:solidFill>
              <a:schemeClr val="accent3">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[5]Information!$K$18:$K$26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[5]Information!$G$18:$G$26</c:f>
              <c:numCache>
                <c:formatCode>General</c:formatCode>
                <c:ptCount val="9"/>
                <c:pt idx="0">
                  <c:v>0</c:v>
                </c:pt>
                <c:pt idx="1">
                  <c:v>0</c:v>
                </c:pt>
                <c:pt idx="2">
                  <c:v>0</c:v>
                </c:pt>
                <c:pt idx="3">
                  <c:v>0</c:v>
                </c:pt>
                <c:pt idx="4">
                  <c:v>0</c:v>
                </c:pt>
                <c:pt idx="5">
                  <c:v>0</c:v>
                </c:pt>
                <c:pt idx="6">
                  <c:v>1</c:v>
                </c:pt>
                <c:pt idx="7">
                  <c:v>1</c:v>
                </c:pt>
                <c:pt idx="8">
                  <c:v>3</c:v>
                </c:pt>
              </c:numCache>
            </c:numRef>
          </c:val>
          <c:extLst>
            <c:ext xmlns:c16="http://schemas.microsoft.com/office/drawing/2014/chart" uri="{C3380CC4-5D6E-409C-BE32-E72D297353CC}">
              <c16:uniqueId val="{00000000-CB34-4EDA-A36F-2333ADEA7895}"/>
            </c:ext>
          </c:extLst>
        </c:ser>
        <c:ser>
          <c:idx val="1"/>
          <c:order val="1"/>
          <c:tx>
            <c:strRef>
              <c:f>[5]Information!$H$3</c:f>
              <c:strCache>
                <c:ptCount val="1"/>
                <c:pt idx="0">
                  <c:v>7 Days - 14 Days</c:v>
                </c:pt>
              </c:strCache>
            </c:strRef>
          </c:tx>
          <c:spPr>
            <a:solidFill>
              <a:schemeClr val="accent6">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[5]Information!$K$18:$K$26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[5]Information!$H$18:$H$26</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CB34-4EDA-A36F-2333ADEA7895}"/>
            </c:ext>
          </c:extLst>
        </c:ser>
        <c:ser>
          <c:idx val="2"/>
          <c:order val="2"/>
          <c:tx>
            <c:strRef>
              <c:f>[5]Information!$I$3</c:f>
              <c:strCache>
                <c:ptCount val="1"/>
                <c:pt idx="0">
                  <c:v>14 Days - 30 Days</c:v>
                </c:pt>
              </c:strCache>
            </c:strRef>
          </c:tx>
          <c:spPr>
            <a:solidFill>
              <a:schemeClr val="accent4">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[5]Information!$K$18:$K$26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[5]Information!$I$18:$I$26</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CB34-4EDA-A36F-2333ADEA7895}"/>
            </c:ext>
          </c:extLst>
        </c:ser>
        <c:ser>
          <c:idx val="3"/>
          <c:order val="3"/>
          <c:tx>
            <c:strRef>
              <c:f>[5]Information!$J$3</c:f>
              <c:strCache>
                <c:ptCount val="1"/>
                <c:pt idx="0">
                  <c:v>&gt;30 Days</c:v>
                </c:pt>
              </c:strCache>
            </c:strRef>
          </c:tx>
          <c:spPr>
            <a:solidFill>
              <a:schemeClr val="accent2">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[5]Information!$K$18:$K$26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[5]Information!$J$18:$J$26</c:f>
              <c:numCache>
                <c:formatCode>General</c:formatCode>
                <c:ptCount val="9"/>
                <c:pt idx="0">
                  <c:v>0</c:v>
                </c:pt>
                <c:pt idx="1">
                  <c:v>0</c:v>
                </c:pt>
                <c:pt idx="2">
                  <c:v>0</c:v>
                </c:pt>
                <c:pt idx="3">
                  <c:v>0</c:v>
                </c:pt>
                <c:pt idx="4">
                  <c:v>0</c:v>
                </c:pt>
                <c:pt idx="5">
                  <c:v>0</c:v>
                </c:pt>
                <c:pt idx="6">
                  <c:v>1</c:v>
                </c:pt>
                <c:pt idx="7">
                  <c:v>0</c:v>
                </c:pt>
                <c:pt idx="8">
                  <c:v>0</c:v>
                </c:pt>
              </c:numCache>
            </c:numRef>
          </c:val>
          <c:extLst>
            <c:ext xmlns:c16="http://schemas.microsoft.com/office/drawing/2014/chart" uri="{C3380CC4-5D6E-409C-BE32-E72D297353CC}">
              <c16:uniqueId val="{00000003-CB34-4EDA-A36F-2333ADEA7895}"/>
            </c:ext>
          </c:extLst>
        </c:ser>
        <c:dLbls>
          <c:showLegendKey val="0"/>
          <c:showVal val="0"/>
          <c:showCatName val="0"/>
          <c:showSerName val="0"/>
          <c:showPercent val="0"/>
          <c:showBubbleSize val="0"/>
        </c:dLbls>
        <c:gapWidth val="75"/>
        <c:shape val="box"/>
        <c:axId val="731148088"/>
        <c:axId val="1"/>
        <c:axId val="0"/>
      </c:bar3DChart>
      <c:catAx>
        <c:axId val="73114808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max val="8"/>
        </c:scaling>
        <c:delete val="0"/>
        <c:axPos val="l"/>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731148088"/>
        <c:crosses val="autoZero"/>
        <c:crossBetween val="between"/>
        <c:majorUnit val="1"/>
      </c:valAx>
      <c:spPr>
        <a:noFill/>
        <a:ln w="25400">
          <a:noFill/>
        </a:ln>
      </c:spPr>
    </c:plotArea>
    <c:legend>
      <c:legendPos val="b"/>
      <c:layout>
        <c:manualLayout>
          <c:xMode val="edge"/>
          <c:yMode val="edge"/>
          <c:x val="5.9324008973065744E-2"/>
          <c:y val="0.86337547595282982"/>
          <c:w val="0.83182286726587473"/>
          <c:h val="7.9787808214114131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8.4188095073224167E-2"/>
          <c:y val="4.5002131143863429E-2"/>
          <c:w val="0.87500022497187846"/>
          <c:h val="0.82190323554688405"/>
        </c:manualLayout>
      </c:layout>
      <c:pie3DChart>
        <c:varyColors val="1"/>
        <c:ser>
          <c:idx val="0"/>
          <c:order val="0"/>
          <c:spPr>
            <a:solidFill>
              <a:schemeClr val="accent3">
                <a:lumMod val="60000"/>
                <a:lumOff val="40000"/>
              </a:schemeClr>
            </a:solidFill>
          </c:spPr>
          <c:explosion val="17"/>
          <c:dPt>
            <c:idx val="0"/>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B19F-4BF4-89A6-372DE13B4711}"/>
              </c:ext>
            </c:extLst>
          </c:dPt>
          <c:dPt>
            <c:idx val="1"/>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B19F-4BF4-89A6-372DE13B4711}"/>
              </c:ext>
            </c:extLst>
          </c:dPt>
          <c:dPt>
            <c:idx val="2"/>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B19F-4BF4-89A6-372DE13B4711}"/>
              </c:ext>
            </c:extLst>
          </c:dPt>
          <c:dPt>
            <c:idx val="3"/>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B19F-4BF4-89A6-372DE13B4711}"/>
              </c:ext>
            </c:extLst>
          </c:dPt>
          <c:dLbls>
            <c:dLbl>
              <c:idx val="0"/>
              <c:layout>
                <c:manualLayout>
                  <c:x val="-4.8285559218254809E-2"/>
                  <c:y val="0.3122403919461470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19F-4BF4-89A6-372DE13B4711}"/>
                </c:ext>
              </c:extLst>
            </c:dLbl>
            <c:dLbl>
              <c:idx val="1"/>
              <c:layout>
                <c:manualLayout>
                  <c:x val="-3.9503288734583579E-2"/>
                  <c:y val="-1.279689587781322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19F-4BF4-89A6-372DE13B4711}"/>
                </c:ext>
              </c:extLst>
            </c:dLbl>
            <c:dLbl>
              <c:idx val="2"/>
              <c:layout>
                <c:manualLayout>
                  <c:x val="8.7619047619047616E-4"/>
                  <c:y val="8.38255173855480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19F-4BF4-89A6-372DE13B4711}"/>
                </c:ext>
              </c:extLst>
            </c:dLbl>
            <c:dLbl>
              <c:idx val="3"/>
              <c:layout>
                <c:manualLayout>
                  <c:x val="9.7538957630296214E-2"/>
                  <c:y val="-4.4257078484658445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19F-4BF4-89A6-372DE13B4711}"/>
                </c:ext>
              </c:extLst>
            </c:dLbl>
            <c:spPr>
              <a:noFill/>
              <a:ln w="25400">
                <a:noFill/>
              </a:ln>
            </c:sp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0 day - 7 days</c:v>
              </c:pt>
              <c:pt idx="1">
                <c:v>7 days - 14 days</c:v>
              </c:pt>
              <c:pt idx="2">
                <c:v>14 days - 30 days</c:v>
              </c:pt>
              <c:pt idx="3">
                <c:v>&gt; 30 days</c:v>
              </c:pt>
            </c:strLit>
          </c:cat>
          <c:val>
            <c:numRef>
              <c:f>[5]Information!$G$5:$J$5</c:f>
              <c:numCache>
                <c:formatCode>General</c:formatCode>
                <c:ptCount val="4"/>
                <c:pt idx="0">
                  <c:v>5</c:v>
                </c:pt>
                <c:pt idx="1">
                  <c:v>0</c:v>
                </c:pt>
                <c:pt idx="2">
                  <c:v>0</c:v>
                </c:pt>
                <c:pt idx="3">
                  <c:v>1</c:v>
                </c:pt>
              </c:numCache>
            </c:numRef>
          </c:val>
          <c:extLst>
            <c:ext xmlns:c16="http://schemas.microsoft.com/office/drawing/2014/chart" uri="{C3380CC4-5D6E-409C-BE32-E72D297353CC}">
              <c16:uniqueId val="{00000008-B19F-4BF4-89A6-372DE13B4711}"/>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noFill/>
    <a:ln w="9525">
      <a:solidFill>
        <a:schemeClr val="tx1"/>
      </a:solidFill>
    </a:ln>
  </c:spPr>
  <c:txPr>
    <a:bodyPr/>
    <a:lstStyle/>
    <a:p>
      <a:pPr>
        <a:defRPr sz="12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1990407673860911E-2"/>
          <c:y val="0.26814405576352135"/>
          <c:w val="0.94724220623501199"/>
          <c:h val="0.63044275203304501"/>
        </c:manualLayout>
      </c:layout>
      <c:barChart>
        <c:barDir val="col"/>
        <c:grouping val="clustered"/>
        <c:varyColors val="0"/>
        <c:ser>
          <c:idx val="0"/>
          <c:order val="0"/>
          <c:tx>
            <c:strRef>
              <c:f>[5]Information!$FO$3</c:f>
              <c:strCache>
                <c:ptCount val="1"/>
                <c:pt idx="0">
                  <c:v>2016</c:v>
                </c:pt>
              </c:strCache>
            </c:strRef>
          </c:tx>
          <c:spPr>
            <a:ln w="28575" cap="rnd">
              <a:solidFill>
                <a:srgbClr val="00B0F0"/>
              </a:solidFill>
              <a:round/>
            </a:ln>
            <a:effectLst/>
          </c:spPr>
          <c:invertIfNegative val="0"/>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[5]Information!$FN$37:$FN$48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[5]Information!$FO$4:$FO$15</c:f>
              <c:numCache>
                <c:formatCode>General</c:formatCode>
                <c:ptCount val="12"/>
                <c:pt idx="0">
                  <c:v>2</c:v>
                </c:pt>
                <c:pt idx="1">
                  <c:v>1</c:v>
                </c:pt>
                <c:pt idx="2">
                  <c:v>1</c:v>
                </c:pt>
                <c:pt idx="3">
                  <c:v>3</c:v>
                </c:pt>
                <c:pt idx="4">
                  <c:v>1</c:v>
                </c:pt>
                <c:pt idx="5">
                  <c:v>1</c:v>
                </c:pt>
                <c:pt idx="6">
                  <c:v>1</c:v>
                </c:pt>
                <c:pt idx="7">
                  <c:v>1</c:v>
                </c:pt>
                <c:pt idx="8">
                  <c:v>0</c:v>
                </c:pt>
                <c:pt idx="9">
                  <c:v>7</c:v>
                </c:pt>
                <c:pt idx="10">
                  <c:v>0</c:v>
                </c:pt>
                <c:pt idx="11">
                  <c:v>3</c:v>
                </c:pt>
              </c:numCache>
            </c:numRef>
          </c:val>
          <c:extLst>
            <c:ext xmlns:c16="http://schemas.microsoft.com/office/drawing/2014/chart" uri="{C3380CC4-5D6E-409C-BE32-E72D297353CC}">
              <c16:uniqueId val="{00000000-8451-4D91-87FC-2A9C451D1FBB}"/>
            </c:ext>
          </c:extLst>
        </c:ser>
        <c:ser>
          <c:idx val="1"/>
          <c:order val="1"/>
          <c:tx>
            <c:strRef>
              <c:f>[5]Information!$FP$3</c:f>
              <c:strCache>
                <c:ptCount val="1"/>
                <c:pt idx="0">
                  <c:v>2017</c:v>
                </c:pt>
              </c:strCache>
            </c:strRef>
          </c:tx>
          <c:spPr>
            <a:ln w="28575" cap="rnd">
              <a:solidFill>
                <a:schemeClr val="accent4">
                  <a:lumMod val="75000"/>
                </a:schemeClr>
              </a:solidFill>
              <a:round/>
            </a:ln>
            <a:effectLst/>
          </c:spPr>
          <c:invertIfNegative val="0"/>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[5]Information!$FN$37:$FN$48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[5]Information!$FP$4:$FP$15</c:f>
              <c:numCache>
                <c:formatCode>General</c:formatCode>
                <c:ptCount val="12"/>
                <c:pt idx="0">
                  <c:v>1</c:v>
                </c:pt>
                <c:pt idx="1">
                  <c:v>4</c:v>
                </c:pt>
                <c:pt idx="2">
                  <c:v>2</c:v>
                </c:pt>
                <c:pt idx="3">
                  <c:v>11</c:v>
                </c:pt>
                <c:pt idx="4">
                  <c:v>0</c:v>
                </c:pt>
                <c:pt idx="5">
                  <c:v>1</c:v>
                </c:pt>
                <c:pt idx="6">
                  <c:v>2</c:v>
                </c:pt>
                <c:pt idx="7">
                  <c:v>0</c:v>
                </c:pt>
                <c:pt idx="8">
                  <c:v>2</c:v>
                </c:pt>
                <c:pt idx="9">
                  <c:v>5</c:v>
                </c:pt>
                <c:pt idx="10">
                  <c:v>2</c:v>
                </c:pt>
                <c:pt idx="11">
                  <c:v>1</c:v>
                </c:pt>
              </c:numCache>
            </c:numRef>
          </c:val>
          <c:extLst>
            <c:ext xmlns:c16="http://schemas.microsoft.com/office/drawing/2014/chart" uri="{C3380CC4-5D6E-409C-BE32-E72D297353CC}">
              <c16:uniqueId val="{00000001-8451-4D91-87FC-2A9C451D1FBB}"/>
            </c:ext>
          </c:extLst>
        </c:ser>
        <c:ser>
          <c:idx val="4"/>
          <c:order val="4"/>
          <c:tx>
            <c:strRef>
              <c:f>[5]Information!$FQ$20</c:f>
              <c:strCache>
                <c:ptCount val="1"/>
                <c:pt idx="0">
                  <c:v>2018</c:v>
                </c:pt>
              </c:strCache>
            </c:strRef>
          </c:tx>
          <c:spPr>
            <a:solidFill>
              <a:schemeClr val="accent6"/>
            </a:solidFill>
          </c:spPr>
          <c:invertIfNegative val="0"/>
          <c:val>
            <c:numRef>
              <c:f>[5]Information!$FQ$21:$FQ$32</c:f>
              <c:numCache>
                <c:formatCode>General</c:formatCode>
                <c:ptCount val="12"/>
                <c:pt idx="0">
                  <c:v>2</c:v>
                </c:pt>
                <c:pt idx="1">
                  <c:v>3</c:v>
                </c:pt>
                <c:pt idx="2">
                  <c:v>1</c:v>
                </c:pt>
                <c:pt idx="3">
                  <c:v>0</c:v>
                </c:pt>
                <c:pt idx="4">
                  <c:v>0</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2-8451-4D91-87FC-2A9C451D1FBB}"/>
            </c:ext>
          </c:extLst>
        </c:ser>
        <c:dLbls>
          <c:showLegendKey val="0"/>
          <c:showVal val="0"/>
          <c:showCatName val="0"/>
          <c:showSerName val="0"/>
          <c:showPercent val="0"/>
          <c:showBubbleSize val="0"/>
        </c:dLbls>
        <c:gapWidth val="150"/>
        <c:axId val="2127633951"/>
        <c:axId val="1"/>
      </c:barChart>
      <c:lineChart>
        <c:grouping val="standard"/>
        <c:varyColors val="0"/>
        <c:ser>
          <c:idx val="2"/>
          <c:order val="2"/>
          <c:tx>
            <c:strRef>
              <c:f>[5]Information!$FS$36</c:f>
              <c:strCache>
                <c:ptCount val="1"/>
                <c:pt idx="0">
                  <c:v>Akumulasi 2016</c:v>
                </c:pt>
              </c:strCache>
            </c:strRef>
          </c:tx>
          <c:spPr>
            <a:ln>
              <a:solidFill>
                <a:srgbClr val="00B0F0"/>
              </a:solidFill>
            </a:ln>
          </c:spPr>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[5]Information!$FS$4:$FS$15</c:f>
              <c:numCache>
                <c:formatCode>General</c:formatCode>
                <c:ptCount val="12"/>
                <c:pt idx="0">
                  <c:v>2</c:v>
                </c:pt>
                <c:pt idx="1">
                  <c:v>3</c:v>
                </c:pt>
                <c:pt idx="2">
                  <c:v>4</c:v>
                </c:pt>
                <c:pt idx="3">
                  <c:v>7</c:v>
                </c:pt>
                <c:pt idx="4">
                  <c:v>8</c:v>
                </c:pt>
                <c:pt idx="5">
                  <c:v>9</c:v>
                </c:pt>
                <c:pt idx="6">
                  <c:v>10</c:v>
                </c:pt>
                <c:pt idx="7">
                  <c:v>11</c:v>
                </c:pt>
                <c:pt idx="8">
                  <c:v>11</c:v>
                </c:pt>
                <c:pt idx="9">
                  <c:v>18</c:v>
                </c:pt>
                <c:pt idx="10">
                  <c:v>18</c:v>
                </c:pt>
                <c:pt idx="11">
                  <c:v>21</c:v>
                </c:pt>
              </c:numCache>
            </c:numRef>
          </c:val>
          <c:smooth val="0"/>
          <c:extLst>
            <c:ext xmlns:c16="http://schemas.microsoft.com/office/drawing/2014/chart" uri="{C3380CC4-5D6E-409C-BE32-E72D297353CC}">
              <c16:uniqueId val="{00000003-8451-4D91-87FC-2A9C451D1FBB}"/>
            </c:ext>
          </c:extLst>
        </c:ser>
        <c:ser>
          <c:idx val="3"/>
          <c:order val="3"/>
          <c:tx>
            <c:strRef>
              <c:f>[5]Information!$FT$36</c:f>
              <c:strCache>
                <c:ptCount val="1"/>
                <c:pt idx="0">
                  <c:v>Akumulasi 2017</c:v>
                </c:pt>
              </c:strCache>
            </c:strRef>
          </c:tx>
          <c:spPr>
            <a:ln>
              <a:solidFill>
                <a:schemeClr val="accent4">
                  <a:lumMod val="75000"/>
                </a:schemeClr>
              </a:solidFill>
            </a:ln>
          </c:spPr>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[5]Information!$FT$4:$FT$15</c:f>
              <c:numCache>
                <c:formatCode>General</c:formatCode>
                <c:ptCount val="12"/>
                <c:pt idx="0">
                  <c:v>1</c:v>
                </c:pt>
                <c:pt idx="1">
                  <c:v>5</c:v>
                </c:pt>
                <c:pt idx="2">
                  <c:v>7</c:v>
                </c:pt>
                <c:pt idx="3">
                  <c:v>18</c:v>
                </c:pt>
                <c:pt idx="4">
                  <c:v>18</c:v>
                </c:pt>
                <c:pt idx="5">
                  <c:v>19</c:v>
                </c:pt>
                <c:pt idx="6">
                  <c:v>21</c:v>
                </c:pt>
                <c:pt idx="7">
                  <c:v>21</c:v>
                </c:pt>
                <c:pt idx="8">
                  <c:v>23</c:v>
                </c:pt>
                <c:pt idx="9">
                  <c:v>28</c:v>
                </c:pt>
                <c:pt idx="10">
                  <c:v>30</c:v>
                </c:pt>
                <c:pt idx="11">
                  <c:v>31</c:v>
                </c:pt>
              </c:numCache>
            </c:numRef>
          </c:val>
          <c:smooth val="0"/>
          <c:extLst>
            <c:ext xmlns:c16="http://schemas.microsoft.com/office/drawing/2014/chart" uri="{C3380CC4-5D6E-409C-BE32-E72D297353CC}">
              <c16:uniqueId val="{00000004-8451-4D91-87FC-2A9C451D1FBB}"/>
            </c:ext>
          </c:extLst>
        </c:ser>
        <c:ser>
          <c:idx val="5"/>
          <c:order val="5"/>
          <c:tx>
            <c:strRef>
              <c:f>[5]Information!$FU$20</c:f>
              <c:strCache>
                <c:ptCount val="1"/>
                <c:pt idx="0">
                  <c:v>Akumulasi 2018</c:v>
                </c:pt>
              </c:strCache>
            </c:strRef>
          </c:tx>
          <c:val>
            <c:numRef>
              <c:f>[5]Information!$FU$21:$FU$32</c:f>
              <c:numCache>
                <c:formatCode>General</c:formatCode>
                <c:ptCount val="12"/>
                <c:pt idx="0">
                  <c:v>2</c:v>
                </c:pt>
                <c:pt idx="1">
                  <c:v>5</c:v>
                </c:pt>
                <c:pt idx="2">
                  <c:v>6</c:v>
                </c:pt>
                <c:pt idx="3">
                  <c:v>6</c:v>
                </c:pt>
                <c:pt idx="4">
                  <c:v>6</c:v>
                </c:pt>
                <c:pt idx="5">
                  <c:v>7</c:v>
                </c:pt>
                <c:pt idx="6">
                  <c:v>7</c:v>
                </c:pt>
                <c:pt idx="7">
                  <c:v>7</c:v>
                </c:pt>
                <c:pt idx="8">
                  <c:v>7</c:v>
                </c:pt>
                <c:pt idx="9">
                  <c:v>7</c:v>
                </c:pt>
                <c:pt idx="10">
                  <c:v>7</c:v>
                </c:pt>
                <c:pt idx="11">
                  <c:v>7</c:v>
                </c:pt>
              </c:numCache>
            </c:numRef>
          </c:val>
          <c:smooth val="0"/>
          <c:extLst>
            <c:ext xmlns:c16="http://schemas.microsoft.com/office/drawing/2014/chart" uri="{C3380CC4-5D6E-409C-BE32-E72D297353CC}">
              <c16:uniqueId val="{00000005-8451-4D91-87FC-2A9C451D1FBB}"/>
            </c:ext>
          </c:extLst>
        </c:ser>
        <c:dLbls>
          <c:showLegendKey val="0"/>
          <c:showVal val="0"/>
          <c:showCatName val="0"/>
          <c:showSerName val="0"/>
          <c:showPercent val="0"/>
          <c:showBubbleSize val="0"/>
        </c:dLbls>
        <c:marker val="1"/>
        <c:smooth val="0"/>
        <c:axId val="2127633951"/>
        <c:axId val="1"/>
      </c:lineChart>
      <c:catAx>
        <c:axId val="212763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1"/>
        <c:axPos val="l"/>
        <c:numFmt formatCode="General" sourceLinked="1"/>
        <c:majorTickMark val="out"/>
        <c:minorTickMark val="none"/>
        <c:tickLblPos val="nextTo"/>
        <c:crossAx val="2127633951"/>
        <c:crosses val="autoZero"/>
        <c:crossBetween val="between"/>
      </c:valAx>
      <c:spPr>
        <a:noFill/>
        <a:ln w="25400">
          <a:noFill/>
        </a:ln>
      </c:spPr>
    </c:plotArea>
    <c:legend>
      <c:legendPos val="t"/>
      <c:layout>
        <c:manualLayout>
          <c:xMode val="edge"/>
          <c:yMode val="edge"/>
          <c:x val="0.11058306097601013"/>
          <c:y val="2.310558463800038E-2"/>
          <c:w val="0.72207313930799899"/>
          <c:h val="0.15213905559409854"/>
        </c:manualLayout>
      </c:layout>
      <c:overlay val="0"/>
      <c:spPr>
        <a:noFill/>
        <a:ln w="25400">
          <a:noFill/>
        </a:ln>
      </c:spPr>
      <c:txPr>
        <a:bodyPr/>
        <a:lstStyle/>
        <a:p>
          <a:pPr>
            <a:defRPr sz="120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[5]Information!$FO$36</c:f>
              <c:strCache>
                <c:ptCount val="1"/>
                <c:pt idx="0">
                  <c:v>2016</c:v>
                </c:pt>
              </c:strCache>
            </c:strRef>
          </c:tx>
          <c:spPr>
            <a:ln w="28575" cap="rnd">
              <a:solidFill>
                <a:schemeClr val="accent5"/>
              </a:solidFill>
              <a:round/>
            </a:ln>
            <a:effectLst/>
          </c:spPr>
          <c:marker>
            <c:symbol val="circle"/>
            <c:size val="5"/>
            <c:spPr>
              <a:solidFill>
                <a:schemeClr val="accent1"/>
              </a:solidFill>
              <a:ln w="9525">
                <a:solidFill>
                  <a:schemeClr val="accent1"/>
                </a:solidFill>
              </a:ln>
              <a:effectLst/>
            </c:spPr>
          </c:marker>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[5]Information!$AF$21:$AF$32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[5]Information!$FS$37:$FS$48</c:f>
              <c:numCache>
                <c:formatCode>General</c:formatCode>
                <c:ptCount val="12"/>
                <c:pt idx="0">
                  <c:v>4</c:v>
                </c:pt>
                <c:pt idx="1">
                  <c:v>7</c:v>
                </c:pt>
                <c:pt idx="2">
                  <c:v>12</c:v>
                </c:pt>
                <c:pt idx="3">
                  <c:v>12</c:v>
                </c:pt>
                <c:pt idx="4">
                  <c:v>13</c:v>
                </c:pt>
                <c:pt idx="5">
                  <c:v>16</c:v>
                </c:pt>
                <c:pt idx="6">
                  <c:v>17</c:v>
                </c:pt>
                <c:pt idx="7">
                  <c:v>23</c:v>
                </c:pt>
                <c:pt idx="8">
                  <c:v>25</c:v>
                </c:pt>
                <c:pt idx="9">
                  <c:v>26</c:v>
                </c:pt>
                <c:pt idx="10">
                  <c:v>29</c:v>
                </c:pt>
                <c:pt idx="11">
                  <c:v>30</c:v>
                </c:pt>
              </c:numCache>
            </c:numRef>
          </c:yVal>
          <c:smooth val="0"/>
          <c:extLst>
            <c:ext xmlns:c16="http://schemas.microsoft.com/office/drawing/2014/chart" uri="{C3380CC4-5D6E-409C-BE32-E72D297353CC}">
              <c16:uniqueId val="{00000000-961D-4891-A4D1-043757A15E7C}"/>
            </c:ext>
          </c:extLst>
        </c:ser>
        <c:ser>
          <c:idx val="1"/>
          <c:order val="1"/>
          <c:tx>
            <c:strRef>
              <c:f>[5]Information!$FP$36</c:f>
              <c:strCache>
                <c:ptCount val="1"/>
                <c:pt idx="0">
                  <c:v>2017</c:v>
                </c:pt>
              </c:strCache>
            </c:strRef>
          </c:tx>
          <c:spPr>
            <a:ln w="28575" cap="rnd">
              <a:solidFill>
                <a:schemeClr val="accent2"/>
              </a:solidFill>
              <a:round/>
            </a:ln>
            <a:effectLst/>
          </c:spPr>
          <c:marker>
            <c:symbol val="circle"/>
            <c:size val="5"/>
            <c:spPr>
              <a:solidFill>
                <a:schemeClr val="tx1"/>
              </a:solidFill>
              <a:ln w="9525">
                <a:solidFill>
                  <a:srgbClr val="92D050"/>
                </a:solidFill>
              </a:ln>
              <a:effectLst/>
            </c:spPr>
          </c:marker>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[5]Information!$AF$21:$AF$32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[5]Information!$FT$37:$FT$48</c:f>
              <c:numCache>
                <c:formatCode>General</c:formatCode>
                <c:ptCount val="12"/>
                <c:pt idx="0">
                  <c:v>0</c:v>
                </c:pt>
                <c:pt idx="1">
                  <c:v>3</c:v>
                </c:pt>
                <c:pt idx="2">
                  <c:v>6</c:v>
                </c:pt>
                <c:pt idx="3">
                  <c:v>7</c:v>
                </c:pt>
                <c:pt idx="4">
                  <c:v>9</c:v>
                </c:pt>
                <c:pt idx="5">
                  <c:v>18</c:v>
                </c:pt>
                <c:pt idx="6">
                  <c:v>20</c:v>
                </c:pt>
                <c:pt idx="7">
                  <c:v>21</c:v>
                </c:pt>
                <c:pt idx="8">
                  <c:v>21</c:v>
                </c:pt>
                <c:pt idx="9">
                  <c:v>21</c:v>
                </c:pt>
                <c:pt idx="10">
                  <c:v>24</c:v>
                </c:pt>
                <c:pt idx="11">
                  <c:v>31</c:v>
                </c:pt>
              </c:numCache>
            </c:numRef>
          </c:yVal>
          <c:smooth val="0"/>
          <c:extLst>
            <c:ext xmlns:c16="http://schemas.microsoft.com/office/drawing/2014/chart" uri="{C3380CC4-5D6E-409C-BE32-E72D297353CC}">
              <c16:uniqueId val="{00000001-961D-4891-A4D1-043757A15E7C}"/>
            </c:ext>
          </c:extLst>
        </c:ser>
        <c:ser>
          <c:idx val="2"/>
          <c:order val="2"/>
          <c:tx>
            <c:strRef>
              <c:f>[5]Information!$FQ$20</c:f>
              <c:strCache>
                <c:ptCount val="1"/>
                <c:pt idx="0">
                  <c:v>2018</c:v>
                </c:pt>
              </c:strCache>
            </c:strRef>
          </c:tx>
          <c:spPr>
            <a:ln>
              <a:solidFill>
                <a:schemeClr val="accent6"/>
              </a:solidFill>
            </a:ln>
          </c:spPr>
          <c:xVal>
            <c:numRef>
              <c:f>[5]Information!$FN$37:$FN$48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[5]Information!$FU$37:$FU$48</c:f>
              <c:numCache>
                <c:formatCode>General</c:formatCode>
                <c:ptCount val="12"/>
                <c:pt idx="0">
                  <c:v>3</c:v>
                </c:pt>
                <c:pt idx="1">
                  <c:v>3</c:v>
                </c:pt>
                <c:pt idx="2">
                  <c:v>3</c:v>
                </c:pt>
                <c:pt idx="3">
                  <c:v>4</c:v>
                </c:pt>
                <c:pt idx="4">
                  <c:v>5</c:v>
                </c:pt>
                <c:pt idx="5">
                  <c:v>5</c:v>
                </c:pt>
                <c:pt idx="6">
                  <c:v>7</c:v>
                </c:pt>
                <c:pt idx="7">
                  <c:v>7</c:v>
                </c:pt>
                <c:pt idx="8">
                  <c:v>7</c:v>
                </c:pt>
                <c:pt idx="9">
                  <c:v>7</c:v>
                </c:pt>
                <c:pt idx="10">
                  <c:v>7</c:v>
                </c:pt>
                <c:pt idx="11">
                  <c:v>7</c:v>
                </c:pt>
              </c:numCache>
            </c:numRef>
          </c:yVal>
          <c:smooth val="0"/>
          <c:extLst>
            <c:ext xmlns:c16="http://schemas.microsoft.com/office/drawing/2014/chart" uri="{C3380CC4-5D6E-409C-BE32-E72D297353CC}">
              <c16:uniqueId val="{00000002-961D-4891-A4D1-043757A15E7C}"/>
            </c:ext>
          </c:extLst>
        </c:ser>
        <c:dLbls>
          <c:showLegendKey val="0"/>
          <c:showVal val="0"/>
          <c:showCatName val="0"/>
          <c:showSerName val="0"/>
          <c:showPercent val="0"/>
          <c:showBubbleSize val="0"/>
        </c:dLbls>
        <c:axId val="2127633119"/>
        <c:axId val="1"/>
      </c:scatterChart>
      <c:valAx>
        <c:axId val="2127633119"/>
        <c:scaling>
          <c:orientation val="minMax"/>
          <c:max val="12"/>
          <c:min val="1"/>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crossBetween val="midCat"/>
        <c:majorUnit val="1"/>
      </c:valAx>
      <c:valAx>
        <c:axId val="1"/>
        <c:scaling>
          <c:orientation val="minMax"/>
        </c:scaling>
        <c:delete val="1"/>
        <c:axPos val="l"/>
        <c:numFmt formatCode="General" sourceLinked="1"/>
        <c:majorTickMark val="out"/>
        <c:minorTickMark val="none"/>
        <c:tickLblPos val="nextTo"/>
        <c:crossAx val="2127633119"/>
        <c:crosses val="autoZero"/>
        <c:crossBetween val="midCat"/>
      </c:valAx>
      <c:spPr>
        <a:noFill/>
        <a:ln w="25400">
          <a:noFill/>
        </a:ln>
      </c:spPr>
    </c:plotArea>
    <c:legend>
      <c:legendPos val="t"/>
      <c:overlay val="0"/>
      <c:spPr>
        <a:noFill/>
        <a:ln w="25400">
          <a:noFill/>
        </a:ln>
      </c:spPr>
      <c:txPr>
        <a:bodyPr/>
        <a:lstStyle/>
        <a:p>
          <a:pPr>
            <a:defRPr sz="120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7.8519288862477096E-2"/>
          <c:y val="3.7483266398929051E-2"/>
          <c:w val="0.89003417025701981"/>
          <c:h val="0.7186393869441019"/>
        </c:manualLayout>
      </c:layout>
      <c:bar3DChart>
        <c:barDir val="col"/>
        <c:grouping val="stacked"/>
        <c:varyColors val="0"/>
        <c:ser>
          <c:idx val="0"/>
          <c:order val="0"/>
          <c:tx>
            <c:strRef>
              <c:f>[6]Information!$V$2</c:f>
              <c:strCache>
                <c:ptCount val="1"/>
                <c:pt idx="0">
                  <c:v>Settled</c:v>
                </c:pt>
              </c:strCache>
            </c:strRef>
          </c:tx>
          <c:spPr>
            <a:solidFill>
              <a:srgbClr val="92D050"/>
            </a:solidFill>
            <a:ln w="25400">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[6]Information!$X$9:$X$17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[6]Information!$V$9:$V$17</c:f>
              <c:numCache>
                <c:formatCode>General</c:formatCode>
                <c:ptCount val="9"/>
                <c:pt idx="0">
                  <c:v>2</c:v>
                </c:pt>
                <c:pt idx="1">
                  <c:v>9</c:v>
                </c:pt>
                <c:pt idx="2">
                  <c:v>6</c:v>
                </c:pt>
                <c:pt idx="3">
                  <c:v>14</c:v>
                </c:pt>
                <c:pt idx="4">
                  <c:v>7</c:v>
                </c:pt>
                <c:pt idx="5">
                  <c:v>23</c:v>
                </c:pt>
                <c:pt idx="6">
                  <c:v>30</c:v>
                </c:pt>
                <c:pt idx="7">
                  <c:v>10</c:v>
                </c:pt>
                <c:pt idx="8">
                  <c:v>3</c:v>
                </c:pt>
              </c:numCache>
            </c:numRef>
          </c:val>
          <c:extLst>
            <c:ext xmlns:c16="http://schemas.microsoft.com/office/drawing/2014/chart" uri="{C3380CC4-5D6E-409C-BE32-E72D297353CC}">
              <c16:uniqueId val="{00000000-CFFE-4A5A-B2CE-A58D4D714C04}"/>
            </c:ext>
          </c:extLst>
        </c:ser>
        <c:ser>
          <c:idx val="1"/>
          <c:order val="1"/>
          <c:tx>
            <c:strRef>
              <c:f>[6]Information!$W$2</c:f>
              <c:strCache>
                <c:ptCount val="1"/>
                <c:pt idx="0">
                  <c:v>Outstanding</c:v>
                </c:pt>
              </c:strCache>
            </c:strRef>
          </c:tx>
          <c:spPr>
            <a:solidFill>
              <a:schemeClr val="bg2">
                <a:lumMod val="75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[6]Information!$X$9:$X$17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[6]Information!$W$9:$W$17</c:f>
              <c:numCache>
                <c:formatCode>General</c:formatCode>
                <c:ptCount val="9"/>
                <c:pt idx="0">
                  <c:v>0</c:v>
                </c:pt>
                <c:pt idx="1">
                  <c:v>0</c:v>
                </c:pt>
                <c:pt idx="2">
                  <c:v>0</c:v>
                </c:pt>
                <c:pt idx="3">
                  <c:v>2</c:v>
                </c:pt>
                <c:pt idx="4">
                  <c:v>0</c:v>
                </c:pt>
                <c:pt idx="5">
                  <c:v>13</c:v>
                </c:pt>
                <c:pt idx="6">
                  <c:v>11</c:v>
                </c:pt>
                <c:pt idx="7">
                  <c:v>15</c:v>
                </c:pt>
                <c:pt idx="8">
                  <c:v>5</c:v>
                </c:pt>
              </c:numCache>
            </c:numRef>
          </c:val>
          <c:extLst>
            <c:ext xmlns:c16="http://schemas.microsoft.com/office/drawing/2014/chart" uri="{C3380CC4-5D6E-409C-BE32-E72D297353CC}">
              <c16:uniqueId val="{00000001-CFFE-4A5A-B2CE-A58D4D714C04}"/>
            </c:ext>
          </c:extLst>
        </c:ser>
        <c:dLbls>
          <c:showLegendKey val="0"/>
          <c:showVal val="0"/>
          <c:showCatName val="0"/>
          <c:showSerName val="0"/>
          <c:showPercent val="0"/>
          <c:showBubbleSize val="0"/>
        </c:dLbls>
        <c:gapWidth val="75"/>
        <c:shape val="box"/>
        <c:axId val="761282832"/>
        <c:axId val="1"/>
        <c:axId val="0"/>
      </c:bar3DChart>
      <c:catAx>
        <c:axId val="7612828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761282832"/>
        <c:crosses val="autoZero"/>
        <c:crossBetween val="between"/>
      </c:valAx>
      <c:spPr>
        <a:noFill/>
        <a:ln w="25400">
          <a:noFill/>
        </a:ln>
      </c:spPr>
    </c:plotArea>
    <c:legend>
      <c:legendPos val="b"/>
      <c:overlay val="0"/>
      <c:spPr>
        <a:noFill/>
        <a:ln w="25400">
          <a:noFill/>
        </a:ln>
      </c:spPr>
      <c:txPr>
        <a:bodyPr/>
        <a:lstStyle/>
        <a:p>
          <a:pPr>
            <a:defRPr sz="1200" b="0" i="0" u="none" strike="noStrike" baseline="0">
              <a:solidFill>
                <a:srgbClr val="333333"/>
              </a:solidFill>
              <a:latin typeface="Calibri"/>
              <a:ea typeface="Calibri"/>
              <a:cs typeface="Calibri"/>
            </a:defRPr>
          </a:pPr>
          <a:endParaRPr lang="en-US"/>
        </a:p>
      </c:txPr>
    </c:legend>
    <c:plotVisOnly val="1"/>
    <c:dispBlanksAs val="gap"/>
    <c:showDLblsOverMax val="0"/>
  </c:chart>
  <c:spPr>
    <a:noFill/>
    <a:ln w="9525">
      <a:solidFill>
        <a:schemeClr val="tx1"/>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stacked"/>
        <c:varyColors val="0"/>
        <c:ser>
          <c:idx val="0"/>
          <c:order val="0"/>
          <c:tx>
            <c:v>Polis ACA Limit Cabang</c:v>
          </c:tx>
          <c:spPr>
            <a:solidFill>
              <a:schemeClr val="accent1">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[6]Information!$X$9:$X$17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[6]Information!$Y$9:$Y$17</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B3E1-453F-98AF-AB28542DA575}"/>
            </c:ext>
          </c:extLst>
        </c:ser>
        <c:ser>
          <c:idx val="2"/>
          <c:order val="1"/>
          <c:tx>
            <c:v>Polis Inward Limit Cabang</c:v>
          </c:tx>
          <c:spPr>
            <a:solidFill>
              <a:schemeClr val="accent1">
                <a:lumMod val="20000"/>
                <a:lumOff val="8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[6]Information!$X$9:$X$17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[6]Information!$AA$9:$AA$17</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B3E1-453F-98AF-AB28542DA575}"/>
            </c:ext>
          </c:extLst>
        </c:ser>
        <c:ser>
          <c:idx val="1"/>
          <c:order val="2"/>
          <c:tx>
            <c:v>Polis ACA Limit HO</c:v>
          </c:tx>
          <c:spPr>
            <a:solidFill>
              <a:schemeClr val="accent6">
                <a:lumMod val="40000"/>
                <a:lumOff val="6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[6]Information!$X$9:$X$17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[6]Information!$Z$9:$Z$17</c:f>
              <c:numCache>
                <c:formatCode>General</c:formatCode>
                <c:ptCount val="9"/>
                <c:pt idx="0">
                  <c:v>2</c:v>
                </c:pt>
                <c:pt idx="1">
                  <c:v>0</c:v>
                </c:pt>
                <c:pt idx="2">
                  <c:v>0</c:v>
                </c:pt>
                <c:pt idx="3">
                  <c:v>0</c:v>
                </c:pt>
                <c:pt idx="4">
                  <c:v>2</c:v>
                </c:pt>
                <c:pt idx="5">
                  <c:v>3</c:v>
                </c:pt>
                <c:pt idx="6">
                  <c:v>2</c:v>
                </c:pt>
                <c:pt idx="7">
                  <c:v>12</c:v>
                </c:pt>
                <c:pt idx="8">
                  <c:v>0</c:v>
                </c:pt>
              </c:numCache>
            </c:numRef>
          </c:val>
          <c:extLst>
            <c:ext xmlns:c16="http://schemas.microsoft.com/office/drawing/2014/chart" uri="{C3380CC4-5D6E-409C-BE32-E72D297353CC}">
              <c16:uniqueId val="{00000002-B3E1-453F-98AF-AB28542DA575}"/>
            </c:ext>
          </c:extLst>
        </c:ser>
        <c:ser>
          <c:idx val="3"/>
          <c:order val="3"/>
          <c:tx>
            <c:v>Polis Inward Limit HO</c:v>
          </c:tx>
          <c:spPr>
            <a:solidFill>
              <a:schemeClr val="accent6">
                <a:lumMod val="20000"/>
                <a:lumOff val="80000"/>
              </a:schemeClr>
            </a:solidFill>
            <a:ln w="25400">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[6]Information!$X$9:$X$17</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[6]Information!$AB$9:$AB$17</c:f>
              <c:numCache>
                <c:formatCode>General</c:formatCode>
                <c:ptCount val="9"/>
                <c:pt idx="0">
                  <c:v>0</c:v>
                </c:pt>
                <c:pt idx="1">
                  <c:v>9</c:v>
                </c:pt>
                <c:pt idx="2">
                  <c:v>6</c:v>
                </c:pt>
                <c:pt idx="3">
                  <c:v>16</c:v>
                </c:pt>
                <c:pt idx="4">
                  <c:v>5</c:v>
                </c:pt>
                <c:pt idx="5">
                  <c:v>33</c:v>
                </c:pt>
                <c:pt idx="6">
                  <c:v>39</c:v>
                </c:pt>
                <c:pt idx="7">
                  <c:v>13</c:v>
                </c:pt>
                <c:pt idx="8">
                  <c:v>8</c:v>
                </c:pt>
              </c:numCache>
            </c:numRef>
          </c:val>
          <c:extLst>
            <c:ext xmlns:c16="http://schemas.microsoft.com/office/drawing/2014/chart" uri="{C3380CC4-5D6E-409C-BE32-E72D297353CC}">
              <c16:uniqueId val="{00000003-B3E1-453F-98AF-AB28542DA575}"/>
            </c:ext>
          </c:extLst>
        </c:ser>
        <c:dLbls>
          <c:showLegendKey val="0"/>
          <c:showVal val="0"/>
          <c:showCatName val="0"/>
          <c:showSerName val="0"/>
          <c:showPercent val="0"/>
          <c:showBubbleSize val="0"/>
        </c:dLbls>
        <c:gapWidth val="75"/>
        <c:shape val="box"/>
        <c:axId val="761289720"/>
        <c:axId val="1"/>
        <c:axId val="0"/>
      </c:bar3DChart>
      <c:catAx>
        <c:axId val="76128972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761289720"/>
        <c:crosses val="autoZero"/>
        <c:crossBetween val="between"/>
      </c:valAx>
      <c:spPr>
        <a:noFill/>
        <a:ln w="25400">
          <a:noFill/>
        </a:ln>
      </c:spPr>
    </c:plotArea>
    <c:legend>
      <c:legendPos val="b"/>
      <c:overlay val="0"/>
      <c:spPr>
        <a:noFill/>
        <a:ln w="25400">
          <a:noFill/>
        </a:ln>
      </c:spPr>
      <c:txPr>
        <a:bodyPr/>
        <a:lstStyle/>
        <a:p>
          <a:pPr>
            <a:defRPr sz="900" b="0" i="0" u="none" strike="noStrike" baseline="0">
              <a:solidFill>
                <a:srgbClr val="333333"/>
              </a:solidFill>
              <a:latin typeface="Calibri"/>
              <a:ea typeface="Calibri"/>
              <a:cs typeface="Calibri"/>
            </a:defRPr>
          </a:pPr>
          <a:endParaRPr lang="en-US"/>
        </a:p>
      </c:txPr>
    </c:legend>
    <c:plotVisOnly val="1"/>
    <c:dispBlanksAs val="gap"/>
    <c:showDLblsOverMax val="0"/>
  </c:chart>
  <c:spPr>
    <a:noFill/>
    <a:ln w="9525">
      <a:solidFill>
        <a:schemeClr val="tx1"/>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0.13869036370453694"/>
          <c:y val="0.19473113381488472"/>
          <c:w val="0.79119070116235468"/>
          <c:h val="0.75378842107546473"/>
        </c:manualLayout>
      </c:layout>
      <c:pie3DChart>
        <c:varyColors val="1"/>
        <c:ser>
          <c:idx val="0"/>
          <c:order val="0"/>
          <c:explosion val="26"/>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235-44BF-96B0-44DA77BA88F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235-44BF-96B0-44DA77BA88F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235-44BF-96B0-44DA77BA88F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235-44BF-96B0-44DA77BA88F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235-44BF-96B0-44DA77BA88FD}"/>
              </c:ext>
            </c:extLst>
          </c:dPt>
          <c:dPt>
            <c:idx val="5"/>
            <c:bubble3D val="0"/>
            <c:explosion val="21"/>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9235-44BF-96B0-44DA77BA88FD}"/>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9235-44BF-96B0-44DA77BA88FD}"/>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9235-44BF-96B0-44DA77BA88FD}"/>
              </c:ext>
            </c:extLst>
          </c:dPt>
          <c:dPt>
            <c:idx val="8"/>
            <c:bubble3D val="0"/>
            <c:extLst>
              <c:ext xmlns:c16="http://schemas.microsoft.com/office/drawing/2014/chart" uri="{C3380CC4-5D6E-409C-BE32-E72D297353CC}">
                <c16:uniqueId val="{00000010-9235-44BF-96B0-44DA77BA88FD}"/>
              </c:ext>
            </c:extLst>
          </c:dPt>
          <c:dLbls>
            <c:dLbl>
              <c:idx val="0"/>
              <c:layout>
                <c:manualLayout>
                  <c:x val="-0.11159867743051248"/>
                  <c:y val="-6.126604278123352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235-44BF-96B0-44DA77BA88FD}"/>
                </c:ext>
              </c:extLst>
            </c:dLbl>
            <c:dLbl>
              <c:idx val="1"/>
              <c:layout>
                <c:manualLayout>
                  <c:x val="-8.3523979336227148E-3"/>
                  <c:y val="-6.802462029923435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235-44BF-96B0-44DA77BA88FD}"/>
                </c:ext>
              </c:extLst>
            </c:dLbl>
            <c:dLbl>
              <c:idx val="2"/>
              <c:layout>
                <c:manualLayout>
                  <c:x val="-1.3757780277465317E-3"/>
                  <c:y val="-0.2921977006395327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235-44BF-96B0-44DA77BA88FD}"/>
                </c:ext>
              </c:extLst>
            </c:dLbl>
            <c:dLbl>
              <c:idx val="6"/>
              <c:layout>
                <c:manualLayout>
                  <c:x val="-0.2521588652210402"/>
                  <c:y val="-7.830302581896296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9235-44BF-96B0-44DA77BA88FD}"/>
                </c:ext>
              </c:extLst>
            </c:dLbl>
            <c:dLbl>
              <c:idx val="7"/>
              <c:layout>
                <c:manualLayout>
                  <c:x val="-7.2695913010873636E-2"/>
                  <c:y val="-2.141032370953630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9235-44BF-96B0-44DA77BA88FD}"/>
                </c:ext>
              </c:extLst>
            </c:dLbl>
            <c:dLbl>
              <c:idx val="8"/>
              <c:layout>
                <c:manualLayout>
                  <c:x val="-0.25424501254616638"/>
                  <c:y val="3.016824451434533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9235-44BF-96B0-44DA77BA88FD}"/>
                </c:ext>
              </c:extLst>
            </c:dLbl>
            <c:spPr>
              <a:noFill/>
              <a:ln w="25400">
                <a:noFill/>
              </a:ln>
            </c:sp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f>[6]Information!$K$18:$K$26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[6]Information!$M$18:$M$26</c:f>
              <c:numCache>
                <c:formatCode>General</c:formatCode>
                <c:ptCount val="9"/>
                <c:pt idx="0">
                  <c:v>0</c:v>
                </c:pt>
                <c:pt idx="1">
                  <c:v>3.7735849056603772E-2</c:v>
                </c:pt>
                <c:pt idx="2">
                  <c:v>1.8867924528301886E-2</c:v>
                </c:pt>
                <c:pt idx="3">
                  <c:v>5.6603773584905662E-2</c:v>
                </c:pt>
                <c:pt idx="4">
                  <c:v>0</c:v>
                </c:pt>
                <c:pt idx="5">
                  <c:v>0.24528301886792453</c:v>
                </c:pt>
                <c:pt idx="6">
                  <c:v>0.20754716981132076</c:v>
                </c:pt>
                <c:pt idx="7">
                  <c:v>0.32075471698113206</c:v>
                </c:pt>
                <c:pt idx="8">
                  <c:v>0.11320754716981132</c:v>
                </c:pt>
              </c:numCache>
            </c:numRef>
          </c:val>
          <c:extLst>
            <c:ext xmlns:c16="http://schemas.microsoft.com/office/drawing/2014/chart" uri="{C3380CC4-5D6E-409C-BE32-E72D297353CC}">
              <c16:uniqueId val="{00000011-9235-44BF-96B0-44DA77BA88FD}"/>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noFill/>
    <a:ln w="9525">
      <a:solidFill>
        <a:schemeClr val="tx1"/>
      </a:solidFill>
    </a:ln>
  </c:spPr>
  <c:txPr>
    <a:bodyPr/>
    <a:lstStyle/>
    <a:p>
      <a:pPr>
        <a:defRPr sz="11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stacked"/>
        <c:varyColors val="0"/>
        <c:ser>
          <c:idx val="0"/>
          <c:order val="0"/>
          <c:tx>
            <c:strRef>
              <c:f>[6]Information!$G$3</c:f>
              <c:strCache>
                <c:ptCount val="1"/>
                <c:pt idx="0">
                  <c:v>0 Day - 7 Days</c:v>
                </c:pt>
              </c:strCache>
            </c:strRef>
          </c:tx>
          <c:spPr>
            <a:solidFill>
              <a:schemeClr val="accent3">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[6]Information!$K$18:$K$26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[6]Information!$G$18:$G$26</c:f>
              <c:numCache>
                <c:formatCode>General</c:formatCode>
                <c:ptCount val="9"/>
                <c:pt idx="0">
                  <c:v>0</c:v>
                </c:pt>
                <c:pt idx="1">
                  <c:v>0</c:v>
                </c:pt>
                <c:pt idx="2">
                  <c:v>0</c:v>
                </c:pt>
                <c:pt idx="3">
                  <c:v>2</c:v>
                </c:pt>
                <c:pt idx="4">
                  <c:v>0</c:v>
                </c:pt>
                <c:pt idx="5">
                  <c:v>13</c:v>
                </c:pt>
                <c:pt idx="6">
                  <c:v>11</c:v>
                </c:pt>
                <c:pt idx="7">
                  <c:v>8</c:v>
                </c:pt>
                <c:pt idx="8">
                  <c:v>2</c:v>
                </c:pt>
              </c:numCache>
            </c:numRef>
          </c:val>
          <c:extLst>
            <c:ext xmlns:c16="http://schemas.microsoft.com/office/drawing/2014/chart" uri="{C3380CC4-5D6E-409C-BE32-E72D297353CC}">
              <c16:uniqueId val="{00000000-5E31-486A-9B59-3DF8513CE18A}"/>
            </c:ext>
          </c:extLst>
        </c:ser>
        <c:ser>
          <c:idx val="1"/>
          <c:order val="1"/>
          <c:tx>
            <c:strRef>
              <c:f>[6]Information!$H$3</c:f>
              <c:strCache>
                <c:ptCount val="1"/>
                <c:pt idx="0">
                  <c:v>7 Days - 14 Days</c:v>
                </c:pt>
              </c:strCache>
            </c:strRef>
          </c:tx>
          <c:spPr>
            <a:solidFill>
              <a:schemeClr val="accent6">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[6]Information!$K$18:$K$26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[6]Information!$H$18:$H$26</c:f>
              <c:numCache>
                <c:formatCode>General</c:formatCode>
                <c:ptCount val="9"/>
                <c:pt idx="0">
                  <c:v>0</c:v>
                </c:pt>
                <c:pt idx="1">
                  <c:v>2</c:v>
                </c:pt>
                <c:pt idx="2">
                  <c:v>1</c:v>
                </c:pt>
                <c:pt idx="3">
                  <c:v>1</c:v>
                </c:pt>
                <c:pt idx="4">
                  <c:v>0</c:v>
                </c:pt>
                <c:pt idx="5">
                  <c:v>0</c:v>
                </c:pt>
                <c:pt idx="6">
                  <c:v>0</c:v>
                </c:pt>
                <c:pt idx="7">
                  <c:v>8</c:v>
                </c:pt>
                <c:pt idx="8">
                  <c:v>3</c:v>
                </c:pt>
              </c:numCache>
            </c:numRef>
          </c:val>
          <c:extLst>
            <c:ext xmlns:c16="http://schemas.microsoft.com/office/drawing/2014/chart" uri="{C3380CC4-5D6E-409C-BE32-E72D297353CC}">
              <c16:uniqueId val="{00000001-5E31-486A-9B59-3DF8513CE18A}"/>
            </c:ext>
          </c:extLst>
        </c:ser>
        <c:ser>
          <c:idx val="2"/>
          <c:order val="2"/>
          <c:tx>
            <c:strRef>
              <c:f>[6]Information!$I$3</c:f>
              <c:strCache>
                <c:ptCount val="1"/>
                <c:pt idx="0">
                  <c:v>14 Days - 30 Days</c:v>
                </c:pt>
              </c:strCache>
            </c:strRef>
          </c:tx>
          <c:spPr>
            <a:solidFill>
              <a:schemeClr val="accent4">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[6]Information!$K$18:$K$26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[6]Information!$I$18:$I$26</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5E31-486A-9B59-3DF8513CE18A}"/>
            </c:ext>
          </c:extLst>
        </c:ser>
        <c:ser>
          <c:idx val="3"/>
          <c:order val="3"/>
          <c:tx>
            <c:strRef>
              <c:f>[6]Information!$J$3</c:f>
              <c:strCache>
                <c:ptCount val="1"/>
                <c:pt idx="0">
                  <c:v>&gt;30 Days</c:v>
                </c:pt>
              </c:strCache>
            </c:strRef>
          </c:tx>
          <c:spPr>
            <a:solidFill>
              <a:schemeClr val="accent2">
                <a:lumMod val="60000"/>
                <a:lumOff val="40000"/>
              </a:schemeClr>
            </a:solidFill>
            <a:ln>
              <a:noFill/>
            </a:ln>
            <a:effectLst/>
            <a:sp3d/>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[6]Information!$K$18:$K$26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[6]Information!$J$18:$J$26</c:f>
              <c:numCache>
                <c:formatCode>General</c:formatCode>
                <c:ptCount val="9"/>
                <c:pt idx="0">
                  <c:v>0</c:v>
                </c:pt>
                <c:pt idx="1">
                  <c:v>0</c:v>
                </c:pt>
                <c:pt idx="2">
                  <c:v>0</c:v>
                </c:pt>
                <c:pt idx="3">
                  <c:v>0</c:v>
                </c:pt>
                <c:pt idx="4">
                  <c:v>0</c:v>
                </c:pt>
                <c:pt idx="5">
                  <c:v>0</c:v>
                </c:pt>
                <c:pt idx="6">
                  <c:v>0</c:v>
                </c:pt>
                <c:pt idx="7">
                  <c:v>1</c:v>
                </c:pt>
                <c:pt idx="8">
                  <c:v>1</c:v>
                </c:pt>
              </c:numCache>
            </c:numRef>
          </c:val>
          <c:extLst>
            <c:ext xmlns:c16="http://schemas.microsoft.com/office/drawing/2014/chart" uri="{C3380CC4-5D6E-409C-BE32-E72D297353CC}">
              <c16:uniqueId val="{00000003-5E31-486A-9B59-3DF8513CE18A}"/>
            </c:ext>
          </c:extLst>
        </c:ser>
        <c:dLbls>
          <c:showLegendKey val="0"/>
          <c:showVal val="0"/>
          <c:showCatName val="0"/>
          <c:showSerName val="0"/>
          <c:showPercent val="0"/>
          <c:showBubbleSize val="0"/>
        </c:dLbls>
        <c:gapWidth val="75"/>
        <c:shape val="box"/>
        <c:axId val="761280536"/>
        <c:axId val="1"/>
        <c:axId val="0"/>
      </c:bar3DChart>
      <c:catAx>
        <c:axId val="7612805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max val="8"/>
        </c:scaling>
        <c:delete val="0"/>
        <c:axPos val="l"/>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761280536"/>
        <c:crosses val="autoZero"/>
        <c:crossBetween val="between"/>
        <c:majorUnit val="1"/>
      </c:valAx>
      <c:spPr>
        <a:noFill/>
        <a:ln w="25400">
          <a:noFill/>
        </a:ln>
      </c:spPr>
    </c:plotArea>
    <c:legend>
      <c:legendPos val="b"/>
      <c:layout>
        <c:manualLayout>
          <c:xMode val="edge"/>
          <c:yMode val="edge"/>
          <c:x val="5.9324008973065744E-2"/>
          <c:y val="0.86337547595282982"/>
          <c:w val="0.83182286726587473"/>
          <c:h val="7.9787808214114131E-2"/>
        </c:manualLayout>
      </c:layout>
      <c:overlay val="0"/>
      <c:spPr>
        <a:noFill/>
        <a:ln w="25400">
          <a:noFill/>
        </a:ln>
      </c:spPr>
      <c:txPr>
        <a:bodyPr/>
        <a:lstStyle/>
        <a:p>
          <a:pPr>
            <a:defRPr sz="120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0.10440464941882265"/>
          <c:y val="5.0700299630687742E-2"/>
          <c:w val="0.87500022497187846"/>
          <c:h val="0.82190323554688405"/>
        </c:manualLayout>
      </c:layout>
      <c:pie3DChart>
        <c:varyColors val="1"/>
        <c:ser>
          <c:idx val="0"/>
          <c:order val="0"/>
          <c:spPr>
            <a:solidFill>
              <a:schemeClr val="accent3">
                <a:lumMod val="60000"/>
                <a:lumOff val="40000"/>
              </a:schemeClr>
            </a:solidFill>
          </c:spPr>
          <c:explosion val="17"/>
          <c:dPt>
            <c:idx val="0"/>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D829-4D75-9196-3E5CA5E9799C}"/>
              </c:ext>
            </c:extLst>
          </c:dPt>
          <c:dPt>
            <c:idx val="1"/>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D829-4D75-9196-3E5CA5E9799C}"/>
              </c:ext>
            </c:extLst>
          </c:dPt>
          <c:dPt>
            <c:idx val="2"/>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D829-4D75-9196-3E5CA5E9799C}"/>
              </c:ext>
            </c:extLst>
          </c:dPt>
          <c:dPt>
            <c:idx val="3"/>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D829-4D75-9196-3E5CA5E9799C}"/>
              </c:ext>
            </c:extLst>
          </c:dPt>
          <c:dLbls>
            <c:dLbl>
              <c:idx val="0"/>
              <c:layout>
                <c:manualLayout>
                  <c:x val="-7.8599911120402731E-3"/>
                  <c:y val="-0.1716278677829369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829-4D75-9196-3E5CA5E9799C}"/>
                </c:ext>
              </c:extLst>
            </c:dLbl>
            <c:dLbl>
              <c:idx val="1"/>
              <c:layout>
                <c:manualLayout>
                  <c:x val="8.8711601263413069E-4"/>
                  <c:y val="-0.2459375886692908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829-4D75-9196-3E5CA5E9799C}"/>
                </c:ext>
              </c:extLst>
            </c:dLbl>
            <c:dLbl>
              <c:idx val="2"/>
              <c:layout>
                <c:manualLayout>
                  <c:x val="-0.25066045181464874"/>
                  <c:y val="1.693892047792377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829-4D75-9196-3E5CA5E9799C}"/>
                </c:ext>
              </c:extLst>
            </c:dLbl>
            <c:dLbl>
              <c:idx val="3"/>
              <c:layout>
                <c:manualLayout>
                  <c:x val="9.7538957630296214E-2"/>
                  <c:y val="-4.4257078484658445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829-4D75-9196-3E5CA5E9799C}"/>
                </c:ext>
              </c:extLst>
            </c:dLbl>
            <c:spPr>
              <a:noFill/>
              <a:ln w="25400">
                <a:noFill/>
              </a:ln>
            </c:sp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0 day - 7 days</c:v>
              </c:pt>
              <c:pt idx="1">
                <c:v>7 days - 14 days</c:v>
              </c:pt>
              <c:pt idx="2">
                <c:v>14 days - 30 days</c:v>
              </c:pt>
              <c:pt idx="3">
                <c:v>&gt; 30 days</c:v>
              </c:pt>
            </c:strLit>
          </c:cat>
          <c:val>
            <c:numRef>
              <c:f>[6]Information!$G$5:$J$5</c:f>
              <c:numCache>
                <c:formatCode>General</c:formatCode>
                <c:ptCount val="4"/>
                <c:pt idx="0">
                  <c:v>36</c:v>
                </c:pt>
                <c:pt idx="1">
                  <c:v>15</c:v>
                </c:pt>
                <c:pt idx="2">
                  <c:v>0</c:v>
                </c:pt>
                <c:pt idx="3">
                  <c:v>2</c:v>
                </c:pt>
              </c:numCache>
            </c:numRef>
          </c:val>
          <c:extLst>
            <c:ext xmlns:c16="http://schemas.microsoft.com/office/drawing/2014/chart" uri="{C3380CC4-5D6E-409C-BE32-E72D297353CC}">
              <c16:uniqueId val="{00000008-D829-4D75-9196-3E5CA5E9799C}"/>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noFill/>
    <a:ln w="9525">
      <a:solidFill>
        <a:schemeClr val="tx1"/>
      </a:solidFill>
    </a:ln>
  </c:spPr>
  <c:txPr>
    <a:bodyPr/>
    <a:lstStyle/>
    <a:p>
      <a:pPr>
        <a:defRPr sz="12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970132361363036E-2"/>
          <c:y val="0.21779916000202618"/>
          <c:w val="0.95005973527727394"/>
          <c:h val="0.68950531110412616"/>
        </c:manualLayout>
      </c:layout>
      <c:barChart>
        <c:barDir val="col"/>
        <c:grouping val="clustered"/>
        <c:varyColors val="0"/>
        <c:ser>
          <c:idx val="0"/>
          <c:order val="0"/>
          <c:tx>
            <c:strRef>
              <c:f>[6]Information!$FO$3</c:f>
              <c:strCache>
                <c:ptCount val="1"/>
                <c:pt idx="0">
                  <c:v>2016</c:v>
                </c:pt>
              </c:strCache>
            </c:strRef>
          </c:tx>
          <c:spPr>
            <a:ln w="28575" cap="rnd">
              <a:solidFill>
                <a:srgbClr val="00B0F0"/>
              </a:solidFill>
              <a:round/>
            </a:ln>
            <a:effectLst/>
          </c:spPr>
          <c:invertIfNegative val="0"/>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Ref>
              <c:f>[6]Information!$FO$4:$FO$15</c:f>
              <c:numCache>
                <c:formatCode>General</c:formatCode>
                <c:ptCount val="12"/>
                <c:pt idx="0">
                  <c:v>1</c:v>
                </c:pt>
                <c:pt idx="1">
                  <c:v>6</c:v>
                </c:pt>
                <c:pt idx="2">
                  <c:v>4</c:v>
                </c:pt>
                <c:pt idx="3">
                  <c:v>4</c:v>
                </c:pt>
                <c:pt idx="4">
                  <c:v>1</c:v>
                </c:pt>
                <c:pt idx="5">
                  <c:v>0</c:v>
                </c:pt>
                <c:pt idx="6">
                  <c:v>0</c:v>
                </c:pt>
                <c:pt idx="7">
                  <c:v>1</c:v>
                </c:pt>
                <c:pt idx="8">
                  <c:v>2</c:v>
                </c:pt>
                <c:pt idx="9">
                  <c:v>0</c:v>
                </c:pt>
                <c:pt idx="10">
                  <c:v>1</c:v>
                </c:pt>
                <c:pt idx="11">
                  <c:v>0</c:v>
                </c:pt>
              </c:numCache>
            </c:numRef>
          </c:val>
          <c:extLst>
            <c:ext xmlns:c16="http://schemas.microsoft.com/office/drawing/2014/chart" uri="{C3380CC4-5D6E-409C-BE32-E72D297353CC}">
              <c16:uniqueId val="{00000000-89F9-430F-A09E-1591E7A7CC2A}"/>
            </c:ext>
          </c:extLst>
        </c:ser>
        <c:ser>
          <c:idx val="1"/>
          <c:order val="1"/>
          <c:tx>
            <c:strRef>
              <c:f>[6]Information!$FP$3</c:f>
              <c:strCache>
                <c:ptCount val="1"/>
                <c:pt idx="0">
                  <c:v>2017</c:v>
                </c:pt>
              </c:strCache>
            </c:strRef>
          </c:tx>
          <c:spPr>
            <a:ln w="28575" cap="rnd">
              <a:solidFill>
                <a:schemeClr val="accent4">
                  <a:lumMod val="75000"/>
                </a:schemeClr>
              </a:solidFill>
              <a:round/>
            </a:ln>
            <a:effectLst/>
          </c:spPr>
          <c:invertIfNegative val="0"/>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Ref>
              <c:f>[6]Information!$FP$4:$FP$15</c:f>
              <c:numCache>
                <c:formatCode>General</c:formatCode>
                <c:ptCount val="12"/>
                <c:pt idx="0">
                  <c:v>0</c:v>
                </c:pt>
                <c:pt idx="1">
                  <c:v>7</c:v>
                </c:pt>
                <c:pt idx="2">
                  <c:v>3</c:v>
                </c:pt>
                <c:pt idx="3">
                  <c:v>2</c:v>
                </c:pt>
                <c:pt idx="4">
                  <c:v>4</c:v>
                </c:pt>
                <c:pt idx="5">
                  <c:v>4</c:v>
                </c:pt>
                <c:pt idx="6">
                  <c:v>1</c:v>
                </c:pt>
                <c:pt idx="7">
                  <c:v>1</c:v>
                </c:pt>
                <c:pt idx="8">
                  <c:v>0</c:v>
                </c:pt>
                <c:pt idx="9">
                  <c:v>0</c:v>
                </c:pt>
                <c:pt idx="10">
                  <c:v>2</c:v>
                </c:pt>
                <c:pt idx="11">
                  <c:v>2</c:v>
                </c:pt>
              </c:numCache>
            </c:numRef>
          </c:val>
          <c:extLst>
            <c:ext xmlns:c16="http://schemas.microsoft.com/office/drawing/2014/chart" uri="{C3380CC4-5D6E-409C-BE32-E72D297353CC}">
              <c16:uniqueId val="{00000001-89F9-430F-A09E-1591E7A7CC2A}"/>
            </c:ext>
          </c:extLst>
        </c:ser>
        <c:ser>
          <c:idx val="4"/>
          <c:order val="4"/>
          <c:tx>
            <c:strRef>
              <c:f>[6]Information!$FQ$20</c:f>
              <c:strCache>
                <c:ptCount val="1"/>
                <c:pt idx="0">
                  <c:v>2018</c:v>
                </c:pt>
              </c:strCache>
            </c:strRef>
          </c:tx>
          <c:spPr>
            <a:solidFill>
              <a:schemeClr val="accent6"/>
            </a:solidFill>
          </c:spPr>
          <c:invertIfNegative val="0"/>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Ref>
              <c:f>[6]Information!$FQ$21:$FQ$32</c:f>
              <c:numCache>
                <c:formatCode>General</c:formatCode>
                <c:ptCount val="12"/>
                <c:pt idx="0">
                  <c:v>2</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89F9-430F-A09E-1591E7A7CC2A}"/>
            </c:ext>
          </c:extLst>
        </c:ser>
        <c:dLbls>
          <c:showLegendKey val="0"/>
          <c:showVal val="0"/>
          <c:showCatName val="0"/>
          <c:showSerName val="0"/>
          <c:showPercent val="0"/>
          <c:showBubbleSize val="0"/>
        </c:dLbls>
        <c:gapWidth val="150"/>
        <c:axId val="2127634367"/>
        <c:axId val="1"/>
      </c:barChart>
      <c:lineChart>
        <c:grouping val="standard"/>
        <c:varyColors val="0"/>
        <c:ser>
          <c:idx val="2"/>
          <c:order val="2"/>
          <c:tx>
            <c:strRef>
              <c:f>[6]Information!$FS$36</c:f>
              <c:strCache>
                <c:ptCount val="1"/>
                <c:pt idx="0">
                  <c:v>Akumulasi 2016</c:v>
                </c:pt>
              </c:strCache>
            </c:strRef>
          </c:tx>
          <c:spPr>
            <a:ln>
              <a:solidFill>
                <a:srgbClr val="00B0F0"/>
              </a:solidFill>
            </a:ln>
          </c:spPr>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[6]Information!$FS$4:$FS$15</c:f>
              <c:numCache>
                <c:formatCode>General</c:formatCode>
                <c:ptCount val="12"/>
                <c:pt idx="0">
                  <c:v>1</c:v>
                </c:pt>
                <c:pt idx="1">
                  <c:v>7</c:v>
                </c:pt>
                <c:pt idx="2">
                  <c:v>11</c:v>
                </c:pt>
                <c:pt idx="3">
                  <c:v>15</c:v>
                </c:pt>
                <c:pt idx="4">
                  <c:v>16</c:v>
                </c:pt>
                <c:pt idx="5">
                  <c:v>16</c:v>
                </c:pt>
                <c:pt idx="6">
                  <c:v>16</c:v>
                </c:pt>
                <c:pt idx="7">
                  <c:v>17</c:v>
                </c:pt>
                <c:pt idx="8">
                  <c:v>19</c:v>
                </c:pt>
                <c:pt idx="9">
                  <c:v>19</c:v>
                </c:pt>
                <c:pt idx="10">
                  <c:v>20</c:v>
                </c:pt>
                <c:pt idx="11">
                  <c:v>20</c:v>
                </c:pt>
              </c:numCache>
            </c:numRef>
          </c:val>
          <c:smooth val="0"/>
          <c:extLst>
            <c:ext xmlns:c16="http://schemas.microsoft.com/office/drawing/2014/chart" uri="{C3380CC4-5D6E-409C-BE32-E72D297353CC}">
              <c16:uniqueId val="{00000003-89F9-430F-A09E-1591E7A7CC2A}"/>
            </c:ext>
          </c:extLst>
        </c:ser>
        <c:ser>
          <c:idx val="3"/>
          <c:order val="3"/>
          <c:tx>
            <c:strRef>
              <c:f>[6]Information!$FT$36</c:f>
              <c:strCache>
                <c:ptCount val="1"/>
                <c:pt idx="0">
                  <c:v>Akumulasi 2017</c:v>
                </c:pt>
              </c:strCache>
            </c:strRef>
          </c:tx>
          <c:spPr>
            <a:ln>
              <a:solidFill>
                <a:schemeClr val="accent4">
                  <a:lumMod val="75000"/>
                </a:schemeClr>
              </a:solidFill>
            </a:ln>
          </c:spPr>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[6]Information!$FT$4:$FT$15</c:f>
              <c:numCache>
                <c:formatCode>General</c:formatCode>
                <c:ptCount val="12"/>
                <c:pt idx="0">
                  <c:v>0</c:v>
                </c:pt>
                <c:pt idx="1">
                  <c:v>7</c:v>
                </c:pt>
                <c:pt idx="2">
                  <c:v>10</c:v>
                </c:pt>
                <c:pt idx="3">
                  <c:v>12</c:v>
                </c:pt>
                <c:pt idx="4">
                  <c:v>16</c:v>
                </c:pt>
                <c:pt idx="5">
                  <c:v>20</c:v>
                </c:pt>
                <c:pt idx="6">
                  <c:v>21</c:v>
                </c:pt>
                <c:pt idx="7">
                  <c:v>22</c:v>
                </c:pt>
                <c:pt idx="8">
                  <c:v>22</c:v>
                </c:pt>
                <c:pt idx="9">
                  <c:v>22</c:v>
                </c:pt>
                <c:pt idx="10">
                  <c:v>24</c:v>
                </c:pt>
                <c:pt idx="11">
                  <c:v>26</c:v>
                </c:pt>
              </c:numCache>
            </c:numRef>
          </c:val>
          <c:smooth val="0"/>
          <c:extLst>
            <c:ext xmlns:c16="http://schemas.microsoft.com/office/drawing/2014/chart" uri="{C3380CC4-5D6E-409C-BE32-E72D297353CC}">
              <c16:uniqueId val="{00000004-89F9-430F-A09E-1591E7A7CC2A}"/>
            </c:ext>
          </c:extLst>
        </c:ser>
        <c:ser>
          <c:idx val="5"/>
          <c:order val="5"/>
          <c:tx>
            <c:strRef>
              <c:f>[6]Information!$FU$20</c:f>
              <c:strCache>
                <c:ptCount val="1"/>
                <c:pt idx="0">
                  <c:v>Akumulasi 2018</c:v>
                </c:pt>
              </c:strCache>
            </c:strRef>
          </c:tx>
          <c:val>
            <c:numRef>
              <c:f>[6]Information!$FU$21:$FU$32</c:f>
              <c:numCache>
                <c:formatCode>General</c:formatCode>
                <c:ptCount val="12"/>
                <c:pt idx="0">
                  <c:v>2</c:v>
                </c:pt>
                <c:pt idx="1">
                  <c:v>2</c:v>
                </c:pt>
                <c:pt idx="2">
                  <c:v>2</c:v>
                </c:pt>
                <c:pt idx="3">
                  <c:v>2</c:v>
                </c:pt>
                <c:pt idx="4">
                  <c:v>2</c:v>
                </c:pt>
                <c:pt idx="5">
                  <c:v>2</c:v>
                </c:pt>
                <c:pt idx="6">
                  <c:v>2</c:v>
                </c:pt>
                <c:pt idx="7">
                  <c:v>2</c:v>
                </c:pt>
                <c:pt idx="8">
                  <c:v>2</c:v>
                </c:pt>
                <c:pt idx="9">
                  <c:v>2</c:v>
                </c:pt>
                <c:pt idx="10">
                  <c:v>2</c:v>
                </c:pt>
                <c:pt idx="11">
                  <c:v>2</c:v>
                </c:pt>
              </c:numCache>
            </c:numRef>
          </c:val>
          <c:smooth val="0"/>
          <c:extLst>
            <c:ext xmlns:c16="http://schemas.microsoft.com/office/drawing/2014/chart" uri="{C3380CC4-5D6E-409C-BE32-E72D297353CC}">
              <c16:uniqueId val="{00000005-89F9-430F-A09E-1591E7A7CC2A}"/>
            </c:ext>
          </c:extLst>
        </c:ser>
        <c:dLbls>
          <c:showLegendKey val="0"/>
          <c:showVal val="0"/>
          <c:showCatName val="0"/>
          <c:showSerName val="0"/>
          <c:showPercent val="0"/>
          <c:showBubbleSize val="0"/>
        </c:dLbls>
        <c:marker val="1"/>
        <c:smooth val="0"/>
        <c:axId val="2127634367"/>
        <c:axId val="1"/>
      </c:lineChart>
      <c:catAx>
        <c:axId val="212763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1"/>
        <c:axPos val="l"/>
        <c:numFmt formatCode="General" sourceLinked="1"/>
        <c:majorTickMark val="out"/>
        <c:minorTickMark val="none"/>
        <c:tickLblPos val="nextTo"/>
        <c:crossAx val="2127634367"/>
        <c:crosses val="autoZero"/>
        <c:crossBetween val="between"/>
      </c:valAx>
      <c:spPr>
        <a:noFill/>
        <a:ln w="25400">
          <a:noFill/>
        </a:ln>
      </c:spPr>
    </c:plotArea>
    <c:legend>
      <c:legendPos val="t"/>
      <c:layout>
        <c:manualLayout>
          <c:xMode val="edge"/>
          <c:yMode val="edge"/>
          <c:x val="1.9316074699295679E-2"/>
          <c:y val="2.6229508196721311E-2"/>
          <c:w val="0.9781544213448139"/>
          <c:h val="0.18058634992280564"/>
        </c:manualLayout>
      </c:layout>
      <c:overlay val="0"/>
      <c:spPr>
        <a:noFill/>
        <a:ln w="25400">
          <a:noFill/>
        </a:ln>
      </c:spPr>
      <c:txPr>
        <a:bodyPr/>
        <a:lstStyle/>
        <a:p>
          <a:pPr>
            <a:defRPr sz="120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[6]Information!$FO$36</c:f>
              <c:strCache>
                <c:ptCount val="1"/>
                <c:pt idx="0">
                  <c:v>2016</c:v>
                </c:pt>
              </c:strCache>
            </c:strRef>
          </c:tx>
          <c:spPr>
            <a:ln w="28575" cap="rnd">
              <a:solidFill>
                <a:schemeClr val="accent5"/>
              </a:solidFill>
              <a:round/>
            </a:ln>
            <a:effectLst/>
          </c:spPr>
          <c:marker>
            <c:symbol val="circle"/>
            <c:size val="5"/>
            <c:spPr>
              <a:solidFill>
                <a:schemeClr val="accent1"/>
              </a:solidFill>
              <a:ln w="9525">
                <a:solidFill>
                  <a:schemeClr val="accent1"/>
                </a:solidFill>
              </a:ln>
              <a:effectLst/>
            </c:spPr>
          </c:marker>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[6]Information!$AF$21:$AF$32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[6]Information!$FS$37:$FS$48</c:f>
              <c:numCache>
                <c:formatCode>General</c:formatCode>
                <c:ptCount val="12"/>
                <c:pt idx="0">
                  <c:v>0</c:v>
                </c:pt>
                <c:pt idx="1">
                  <c:v>0</c:v>
                </c:pt>
                <c:pt idx="2">
                  <c:v>2</c:v>
                </c:pt>
                <c:pt idx="3">
                  <c:v>3</c:v>
                </c:pt>
                <c:pt idx="4">
                  <c:v>4</c:v>
                </c:pt>
                <c:pt idx="5">
                  <c:v>6</c:v>
                </c:pt>
                <c:pt idx="6">
                  <c:v>9</c:v>
                </c:pt>
                <c:pt idx="7">
                  <c:v>10</c:v>
                </c:pt>
                <c:pt idx="8">
                  <c:v>12</c:v>
                </c:pt>
                <c:pt idx="9">
                  <c:v>16</c:v>
                </c:pt>
                <c:pt idx="10">
                  <c:v>18</c:v>
                </c:pt>
                <c:pt idx="11">
                  <c:v>18</c:v>
                </c:pt>
              </c:numCache>
            </c:numRef>
          </c:yVal>
          <c:smooth val="0"/>
          <c:extLst>
            <c:ext xmlns:c16="http://schemas.microsoft.com/office/drawing/2014/chart" uri="{C3380CC4-5D6E-409C-BE32-E72D297353CC}">
              <c16:uniqueId val="{00000000-DAFC-45E4-886C-D50B45A38D29}"/>
            </c:ext>
          </c:extLst>
        </c:ser>
        <c:ser>
          <c:idx val="1"/>
          <c:order val="1"/>
          <c:tx>
            <c:strRef>
              <c:f>[6]Information!$FP$36</c:f>
              <c:strCache>
                <c:ptCount val="1"/>
                <c:pt idx="0">
                  <c:v>2017</c:v>
                </c:pt>
              </c:strCache>
            </c:strRef>
          </c:tx>
          <c:spPr>
            <a:ln w="28575" cap="rnd">
              <a:solidFill>
                <a:schemeClr val="accent2"/>
              </a:solidFill>
              <a:round/>
            </a:ln>
            <a:effectLst/>
          </c:spPr>
          <c:marker>
            <c:symbol val="circle"/>
            <c:size val="5"/>
            <c:spPr>
              <a:solidFill>
                <a:schemeClr val="tx1"/>
              </a:solidFill>
              <a:ln w="9525">
                <a:solidFill>
                  <a:srgbClr val="92D050"/>
                </a:solidFill>
              </a:ln>
              <a:effectLst/>
            </c:spPr>
          </c:marker>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[6]Information!$AF$21:$AF$32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[6]Information!$FT$37:$FT$48</c:f>
              <c:numCache>
                <c:formatCode>General</c:formatCode>
                <c:ptCount val="12"/>
                <c:pt idx="0">
                  <c:v>1</c:v>
                </c:pt>
                <c:pt idx="1">
                  <c:v>18</c:v>
                </c:pt>
                <c:pt idx="2">
                  <c:v>20</c:v>
                </c:pt>
                <c:pt idx="3">
                  <c:v>29</c:v>
                </c:pt>
                <c:pt idx="4">
                  <c:v>33</c:v>
                </c:pt>
                <c:pt idx="5">
                  <c:v>33</c:v>
                </c:pt>
                <c:pt idx="6">
                  <c:v>38</c:v>
                </c:pt>
                <c:pt idx="7">
                  <c:v>41</c:v>
                </c:pt>
                <c:pt idx="8">
                  <c:v>43</c:v>
                </c:pt>
                <c:pt idx="9">
                  <c:v>45</c:v>
                </c:pt>
                <c:pt idx="10">
                  <c:v>46</c:v>
                </c:pt>
                <c:pt idx="11">
                  <c:v>46</c:v>
                </c:pt>
              </c:numCache>
            </c:numRef>
          </c:yVal>
          <c:smooth val="0"/>
          <c:extLst>
            <c:ext xmlns:c16="http://schemas.microsoft.com/office/drawing/2014/chart" uri="{C3380CC4-5D6E-409C-BE32-E72D297353CC}">
              <c16:uniqueId val="{00000001-DAFC-45E4-886C-D50B45A38D29}"/>
            </c:ext>
          </c:extLst>
        </c:ser>
        <c:ser>
          <c:idx val="2"/>
          <c:order val="2"/>
          <c:tx>
            <c:strRef>
              <c:f>[6]Information!$FQ$36</c:f>
              <c:strCache>
                <c:ptCount val="1"/>
                <c:pt idx="0">
                  <c:v>2018</c:v>
                </c:pt>
              </c:strCache>
            </c:strRef>
          </c:tx>
          <c:spPr>
            <a:ln>
              <a:solidFill>
                <a:schemeClr val="accent6"/>
              </a:solidFill>
            </a:ln>
          </c:spPr>
          <c:xVal>
            <c:numRef>
              <c:f>[6]Information!$FN$37:$FN$48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[6]Information!$FU$37:$FU$48</c:f>
              <c:numCache>
                <c:formatCode>General</c:formatCode>
                <c:ptCount val="12"/>
                <c:pt idx="0">
                  <c:v>1</c:v>
                </c:pt>
                <c:pt idx="1">
                  <c:v>7</c:v>
                </c:pt>
                <c:pt idx="2">
                  <c:v>9</c:v>
                </c:pt>
                <c:pt idx="3">
                  <c:v>12</c:v>
                </c:pt>
                <c:pt idx="4">
                  <c:v>12</c:v>
                </c:pt>
                <c:pt idx="5">
                  <c:v>13</c:v>
                </c:pt>
                <c:pt idx="6">
                  <c:v>13</c:v>
                </c:pt>
                <c:pt idx="7">
                  <c:v>13</c:v>
                </c:pt>
                <c:pt idx="8">
                  <c:v>13</c:v>
                </c:pt>
                <c:pt idx="9">
                  <c:v>13</c:v>
                </c:pt>
                <c:pt idx="10">
                  <c:v>13</c:v>
                </c:pt>
                <c:pt idx="11">
                  <c:v>13</c:v>
                </c:pt>
              </c:numCache>
            </c:numRef>
          </c:yVal>
          <c:smooth val="0"/>
          <c:extLst>
            <c:ext xmlns:c16="http://schemas.microsoft.com/office/drawing/2014/chart" uri="{C3380CC4-5D6E-409C-BE32-E72D297353CC}">
              <c16:uniqueId val="{00000002-DAFC-45E4-886C-D50B45A38D29}"/>
            </c:ext>
          </c:extLst>
        </c:ser>
        <c:dLbls>
          <c:showLegendKey val="0"/>
          <c:showVal val="0"/>
          <c:showCatName val="0"/>
          <c:showSerName val="0"/>
          <c:showPercent val="0"/>
          <c:showBubbleSize val="0"/>
        </c:dLbls>
        <c:axId val="2127632703"/>
        <c:axId val="1"/>
      </c:scatterChart>
      <c:valAx>
        <c:axId val="2127632703"/>
        <c:scaling>
          <c:orientation val="minMax"/>
          <c:max val="12"/>
          <c:min val="1"/>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crossBetween val="midCat"/>
        <c:majorUnit val="1"/>
      </c:valAx>
      <c:valAx>
        <c:axId val="1"/>
        <c:scaling>
          <c:orientation val="minMax"/>
        </c:scaling>
        <c:delete val="1"/>
        <c:axPos val="l"/>
        <c:numFmt formatCode="General" sourceLinked="1"/>
        <c:majorTickMark val="out"/>
        <c:minorTickMark val="none"/>
        <c:tickLblPos val="nextTo"/>
        <c:crossAx val="2127632703"/>
        <c:crosses val="autoZero"/>
        <c:crossBetween val="midCat"/>
      </c:valAx>
      <c:spPr>
        <a:noFill/>
        <a:ln w="25400">
          <a:noFill/>
        </a:ln>
      </c:spPr>
    </c:plotArea>
    <c:legend>
      <c:legendPos val="t"/>
      <c:overlay val="0"/>
      <c:spPr>
        <a:noFill/>
        <a:ln w="25400">
          <a:noFill/>
        </a:ln>
      </c:spPr>
      <c:txPr>
        <a:bodyPr/>
        <a:lstStyle/>
        <a:p>
          <a:pPr>
            <a:defRPr sz="120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Calculate!$A$40</c:f>
              <c:strCache>
                <c:ptCount val="1"/>
                <c:pt idx="0">
                  <c:v>Fire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numRef>
              <c:f>Calculate!$D$39:$E$39</c:f>
              <c:numCache>
                <c:formatCode>General</c:formatCode>
                <c:ptCount val="2"/>
                <c:pt idx="0">
                  <c:v>2017</c:v>
                </c:pt>
                <c:pt idx="1">
                  <c:v>2018</c:v>
                </c:pt>
              </c:numCache>
            </c:numRef>
          </c:cat>
          <c:val>
            <c:numRef>
              <c:f>Calculate!$D$40:$E$40</c:f>
              <c:numCache>
                <c:formatCode>General</c:formatCode>
                <c:ptCount val="2"/>
                <c:pt idx="0">
                  <c:v>171</c:v>
                </c:pt>
                <c:pt idx="1">
                  <c:v>38</c:v>
                </c:pt>
              </c:numCache>
            </c:numRef>
          </c:val>
          <c:extLst>
            <c:ext xmlns:c16="http://schemas.microsoft.com/office/drawing/2014/chart" uri="{C3380CC4-5D6E-409C-BE32-E72D297353CC}">
              <c16:uniqueId val="{00000000-ACB2-4BB6-9DE8-FF56A489D448}"/>
            </c:ext>
          </c:extLst>
        </c:ser>
        <c:ser>
          <c:idx val="1"/>
          <c:order val="1"/>
          <c:tx>
            <c:strRef>
              <c:f>Calculate!$A$41</c:f>
              <c:strCache>
                <c:ptCount val="1"/>
                <c:pt idx="0">
                  <c:v>Cargo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numRef>
              <c:f>Calculate!$D$39:$E$39</c:f>
              <c:numCache>
                <c:formatCode>General</c:formatCode>
                <c:ptCount val="2"/>
                <c:pt idx="0">
                  <c:v>2017</c:v>
                </c:pt>
                <c:pt idx="1">
                  <c:v>2018</c:v>
                </c:pt>
              </c:numCache>
            </c:numRef>
          </c:cat>
          <c:val>
            <c:numRef>
              <c:f>Calculate!$D$41:$E$41</c:f>
              <c:numCache>
                <c:formatCode>General</c:formatCode>
                <c:ptCount val="2"/>
                <c:pt idx="0">
                  <c:v>48</c:v>
                </c:pt>
                <c:pt idx="1">
                  <c:v>3</c:v>
                </c:pt>
              </c:numCache>
            </c:numRef>
          </c:val>
          <c:extLst>
            <c:ext xmlns:c16="http://schemas.microsoft.com/office/drawing/2014/chart" uri="{C3380CC4-5D6E-409C-BE32-E72D297353CC}">
              <c16:uniqueId val="{00000001-ACB2-4BB6-9DE8-FF56A489D448}"/>
            </c:ext>
          </c:extLst>
        </c:ser>
        <c:ser>
          <c:idx val="2"/>
          <c:order val="2"/>
          <c:tx>
            <c:strRef>
              <c:f>Calculate!$A$42</c:f>
              <c:strCache>
                <c:ptCount val="1"/>
                <c:pt idx="0">
                  <c:v>Hull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numRef>
              <c:f>Calculate!$D$39:$E$39</c:f>
              <c:numCache>
                <c:formatCode>General</c:formatCode>
                <c:ptCount val="2"/>
                <c:pt idx="0">
                  <c:v>2017</c:v>
                </c:pt>
                <c:pt idx="1">
                  <c:v>2018</c:v>
                </c:pt>
              </c:numCache>
            </c:numRef>
          </c:cat>
          <c:val>
            <c:numRef>
              <c:f>Calculate!$D$42:$E$42</c:f>
              <c:numCache>
                <c:formatCode>General</c:formatCode>
                <c:ptCount val="2"/>
                <c:pt idx="0">
                  <c:v>4</c:v>
                </c:pt>
                <c:pt idx="1">
                  <c:v>2</c:v>
                </c:pt>
              </c:numCache>
            </c:numRef>
          </c:val>
          <c:extLst>
            <c:ext xmlns:c16="http://schemas.microsoft.com/office/drawing/2014/chart" uri="{C3380CC4-5D6E-409C-BE32-E72D297353CC}">
              <c16:uniqueId val="{00000002-ACB2-4BB6-9DE8-FF56A489D448}"/>
            </c:ext>
          </c:extLst>
        </c:ser>
        <c:ser>
          <c:idx val="3"/>
          <c:order val="3"/>
          <c:tx>
            <c:strRef>
              <c:f>Calculate!$A$43</c:f>
              <c:strCache>
                <c:ptCount val="1"/>
                <c:pt idx="0">
                  <c:v>CPM</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numRef>
              <c:f>Calculate!$D$39:$E$39</c:f>
              <c:numCache>
                <c:formatCode>General</c:formatCode>
                <c:ptCount val="2"/>
                <c:pt idx="0">
                  <c:v>2017</c:v>
                </c:pt>
                <c:pt idx="1">
                  <c:v>2018</c:v>
                </c:pt>
              </c:numCache>
            </c:numRef>
          </c:cat>
          <c:val>
            <c:numRef>
              <c:f>Calculate!$D$43:$E$43</c:f>
              <c:numCache>
                <c:formatCode>General</c:formatCode>
                <c:ptCount val="2"/>
                <c:pt idx="0">
                  <c:v>13</c:v>
                </c:pt>
                <c:pt idx="1">
                  <c:v>4</c:v>
                </c:pt>
              </c:numCache>
            </c:numRef>
          </c:val>
          <c:extLst>
            <c:ext xmlns:c16="http://schemas.microsoft.com/office/drawing/2014/chart" uri="{C3380CC4-5D6E-409C-BE32-E72D297353CC}">
              <c16:uniqueId val="{00000003-ACB2-4BB6-9DE8-FF56A489D448}"/>
            </c:ext>
          </c:extLst>
        </c:ser>
        <c:ser>
          <c:idx val="4"/>
          <c:order val="4"/>
          <c:tx>
            <c:strRef>
              <c:f>Calculate!$A$44</c:f>
              <c:strCache>
                <c:ptCount val="1"/>
                <c:pt idx="0">
                  <c:v>Casualty</c:v>
                </c:pt>
              </c:strCache>
            </c:strRef>
          </c:tx>
          <c:spPr>
            <a:solidFill>
              <a:srgbClr val="7030A0"/>
            </a:solidFill>
            <a:ln>
              <a:noFill/>
            </a:ln>
            <a:effectLst>
              <a:outerShdw blurRad="57150" dist="19050" dir="5400000" algn="ctr" rotWithShape="0">
                <a:srgbClr val="000000">
                  <a:alpha val="63000"/>
                </a:srgbClr>
              </a:outerShdw>
            </a:effectLst>
            <a:sp3d/>
          </c:spPr>
          <c:invertIfNegative val="0"/>
          <c:cat>
            <c:numRef>
              <c:f>Calculate!$D$39:$E$39</c:f>
              <c:numCache>
                <c:formatCode>General</c:formatCode>
                <c:ptCount val="2"/>
                <c:pt idx="0">
                  <c:v>2017</c:v>
                </c:pt>
                <c:pt idx="1">
                  <c:v>2018</c:v>
                </c:pt>
              </c:numCache>
            </c:numRef>
          </c:cat>
          <c:val>
            <c:numRef>
              <c:f>Calculate!$D$44:$E$44</c:f>
              <c:numCache>
                <c:formatCode>General</c:formatCode>
                <c:ptCount val="2"/>
                <c:pt idx="0">
                  <c:v>31</c:v>
                </c:pt>
                <c:pt idx="1">
                  <c:v>7</c:v>
                </c:pt>
              </c:numCache>
            </c:numRef>
          </c:val>
          <c:extLst>
            <c:ext xmlns:c16="http://schemas.microsoft.com/office/drawing/2014/chart" uri="{C3380CC4-5D6E-409C-BE32-E72D297353CC}">
              <c16:uniqueId val="{00000004-ACB2-4BB6-9DE8-FF56A489D448}"/>
            </c:ext>
          </c:extLst>
        </c:ser>
        <c:ser>
          <c:idx val="5"/>
          <c:order val="5"/>
          <c:tx>
            <c:strRef>
              <c:f>Calculate!$A$45</c:f>
              <c:strCache>
                <c:ptCount val="1"/>
                <c:pt idx="0">
                  <c:v>Engineering</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numRef>
              <c:f>Calculate!$D$39:$E$39</c:f>
              <c:numCache>
                <c:formatCode>General</c:formatCode>
                <c:ptCount val="2"/>
                <c:pt idx="0">
                  <c:v>2017</c:v>
                </c:pt>
                <c:pt idx="1">
                  <c:v>2018</c:v>
                </c:pt>
              </c:numCache>
            </c:numRef>
          </c:cat>
          <c:val>
            <c:numRef>
              <c:f>Calculate!$D$45:$E$45</c:f>
              <c:numCache>
                <c:formatCode>General</c:formatCode>
                <c:ptCount val="2"/>
                <c:pt idx="0">
                  <c:v>46</c:v>
                </c:pt>
                <c:pt idx="1">
                  <c:v>13</c:v>
                </c:pt>
              </c:numCache>
            </c:numRef>
          </c:val>
          <c:extLst>
            <c:ext xmlns:c16="http://schemas.microsoft.com/office/drawing/2014/chart" uri="{C3380CC4-5D6E-409C-BE32-E72D297353CC}">
              <c16:uniqueId val="{00000005-ACB2-4BB6-9DE8-FF56A489D448}"/>
            </c:ext>
          </c:extLst>
        </c:ser>
        <c:dLbls>
          <c:showLegendKey val="0"/>
          <c:showVal val="0"/>
          <c:showCatName val="0"/>
          <c:showSerName val="0"/>
          <c:showPercent val="0"/>
          <c:showBubbleSize val="0"/>
        </c:dLbls>
        <c:gapWidth val="150"/>
        <c:shape val="box"/>
        <c:axId val="396929392"/>
        <c:axId val="1"/>
        <c:axId val="0"/>
      </c:bar3DChart>
      <c:catAx>
        <c:axId val="396929392"/>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Tahun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Jumlah</a:t>
                </a:r>
                <a:r>
                  <a:rPr lang="en-US" baseline="0"/>
                  <a:t> Klaim</a:t>
                </a:r>
                <a:endParaRPr lang="en-US"/>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929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6.xml"/><Relationship Id="rId7" Type="http://schemas.openxmlformats.org/officeDocument/2006/relationships/chart" Target="../charts/chart30.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3.xml"/><Relationship Id="rId7" Type="http://schemas.openxmlformats.org/officeDocument/2006/relationships/chart" Target="../charts/chart37.xml"/><Relationship Id="rId2" Type="http://schemas.openxmlformats.org/officeDocument/2006/relationships/chart" Target="../charts/chart32.xml"/><Relationship Id="rId1" Type="http://schemas.openxmlformats.org/officeDocument/2006/relationships/chart" Target="../charts/chart31.xml"/><Relationship Id="rId6" Type="http://schemas.openxmlformats.org/officeDocument/2006/relationships/chart" Target="../charts/chart36.xml"/><Relationship Id="rId5" Type="http://schemas.openxmlformats.org/officeDocument/2006/relationships/chart" Target="../charts/chart35.xml"/><Relationship Id="rId4" Type="http://schemas.openxmlformats.org/officeDocument/2006/relationships/chart" Target="../charts/chart34.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40.xml"/><Relationship Id="rId7" Type="http://schemas.openxmlformats.org/officeDocument/2006/relationships/chart" Target="../charts/chart44.xml"/><Relationship Id="rId2" Type="http://schemas.openxmlformats.org/officeDocument/2006/relationships/chart" Target="../charts/chart39.xml"/><Relationship Id="rId1" Type="http://schemas.openxmlformats.org/officeDocument/2006/relationships/chart" Target="../charts/chart38.xml"/><Relationship Id="rId6" Type="http://schemas.openxmlformats.org/officeDocument/2006/relationships/chart" Target="../charts/chart43.xml"/><Relationship Id="rId5" Type="http://schemas.openxmlformats.org/officeDocument/2006/relationships/chart" Target="../charts/chart42.xml"/><Relationship Id="rId4" Type="http://schemas.openxmlformats.org/officeDocument/2006/relationships/chart" Target="../charts/chart4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47.xml"/><Relationship Id="rId7" Type="http://schemas.openxmlformats.org/officeDocument/2006/relationships/chart" Target="../charts/chart51.xml"/><Relationship Id="rId2" Type="http://schemas.openxmlformats.org/officeDocument/2006/relationships/chart" Target="../charts/chart46.xml"/><Relationship Id="rId1" Type="http://schemas.openxmlformats.org/officeDocument/2006/relationships/chart" Target="../charts/chart45.xml"/><Relationship Id="rId6" Type="http://schemas.openxmlformats.org/officeDocument/2006/relationships/chart" Target="../charts/chart50.xml"/><Relationship Id="rId5" Type="http://schemas.openxmlformats.org/officeDocument/2006/relationships/chart" Target="../charts/chart49.xml"/><Relationship Id="rId4" Type="http://schemas.openxmlformats.org/officeDocument/2006/relationships/chart" Target="../charts/chart4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52.xml"/></Relationships>
</file>

<file path=xl/drawings/drawing1.xml><?xml version="1.0" encoding="utf-8"?>
<xdr:wsDr xmlns:xdr="http://schemas.openxmlformats.org/drawingml/2006/spreadsheetDrawing" xmlns:a="http://schemas.openxmlformats.org/drawingml/2006/main">
  <xdr:twoCellAnchor>
    <xdr:from>
      <xdr:col>2</xdr:col>
      <xdr:colOff>481593</xdr:colOff>
      <xdr:row>3</xdr:row>
      <xdr:rowOff>88745</xdr:rowOff>
    </xdr:from>
    <xdr:to>
      <xdr:col>4</xdr:col>
      <xdr:colOff>205368</xdr:colOff>
      <xdr:row>6</xdr:row>
      <xdr:rowOff>79220</xdr:rowOff>
    </xdr:to>
    <xdr:pic>
      <xdr:nvPicPr>
        <xdr:cNvPr id="16" name="Picture 14" descr="logo_asuransi-central-asia">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76993" y="660245"/>
          <a:ext cx="1019175"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452320</xdr:colOff>
      <xdr:row>3</xdr:row>
      <xdr:rowOff>21147</xdr:rowOff>
    </xdr:from>
    <xdr:to>
      <xdr:col>6</xdr:col>
      <xdr:colOff>606346</xdr:colOff>
      <xdr:row>6</xdr:row>
      <xdr:rowOff>40197</xdr:rowOff>
    </xdr:to>
    <xdr:pic>
      <xdr:nvPicPr>
        <xdr:cNvPr id="17" name="Picture 31" descr="D:\Kuliah\semester 10\Tugas Ahkir Wira Svaha 114\Refrensi\batrimetri\Gelombang\OJK_Logo.png">
          <a:extLst>
            <a:ext uri="{FF2B5EF4-FFF2-40B4-BE49-F238E27FC236}">
              <a16:creationId xmlns:a16="http://schemas.microsoft.com/office/drawing/2014/main" id="{00000000-0008-0000-0000-000011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3120" y="592647"/>
          <a:ext cx="1449426"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71888</xdr:colOff>
      <xdr:row>56</xdr:row>
      <xdr:rowOff>103527</xdr:rowOff>
    </xdr:from>
    <xdr:to>
      <xdr:col>9</xdr:col>
      <xdr:colOff>363682</xdr:colOff>
      <xdr:row>74</xdr:row>
      <xdr:rowOff>121229</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47625</xdr:colOff>
      <xdr:row>80</xdr:row>
      <xdr:rowOff>102420</xdr:rowOff>
    </xdr:from>
    <xdr:to>
      <xdr:col>9</xdr:col>
      <xdr:colOff>398317</xdr:colOff>
      <xdr:row>97</xdr:row>
      <xdr:rowOff>95249</xdr:rowOff>
    </xdr:to>
    <xdr:graphicFrame macro="">
      <xdr:nvGraphicFramePr>
        <xdr:cNvPr id="19" name="Chart 18">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62902</xdr:colOff>
      <xdr:row>111</xdr:row>
      <xdr:rowOff>81935</xdr:rowOff>
    </xdr:from>
    <xdr:to>
      <xdr:col>9</xdr:col>
      <xdr:colOff>588818</xdr:colOff>
      <xdr:row>128</xdr:row>
      <xdr:rowOff>0</xdr:rowOff>
    </xdr:to>
    <xdr:graphicFrame macro="">
      <xdr:nvGraphicFramePr>
        <xdr:cNvPr id="20" name="Chart 5">
          <a:extLst>
            <a:ext uri="{FF2B5EF4-FFF2-40B4-BE49-F238E27FC236}">
              <a16:creationId xmlns:a16="http://schemas.microsoft.com/office/drawing/2014/main" id="{00000000-0008-0000-00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102419</xdr:colOff>
      <xdr:row>136</xdr:row>
      <xdr:rowOff>102418</xdr:rowOff>
    </xdr:from>
    <xdr:to>
      <xdr:col>9</xdr:col>
      <xdr:colOff>548136</xdr:colOff>
      <xdr:row>148</xdr:row>
      <xdr:rowOff>0</xdr:rowOff>
    </xdr:to>
    <xdr:graphicFrame macro="">
      <xdr:nvGraphicFramePr>
        <xdr:cNvPr id="22" name="Chart 21">
          <a:extLst>
            <a:ext uri="{FF2B5EF4-FFF2-40B4-BE49-F238E27FC236}">
              <a16:creationId xmlns:a16="http://schemas.microsoft.com/office/drawing/2014/main" id="{00000000-0008-0000-00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107830</xdr:colOff>
      <xdr:row>159</xdr:row>
      <xdr:rowOff>153629</xdr:rowOff>
    </xdr:from>
    <xdr:to>
      <xdr:col>9</xdr:col>
      <xdr:colOff>548135</xdr:colOff>
      <xdr:row>178</xdr:row>
      <xdr:rowOff>104775</xdr:rowOff>
    </xdr:to>
    <xdr:graphicFrame macro="">
      <xdr:nvGraphicFramePr>
        <xdr:cNvPr id="23" name="Chart 5">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17972</xdr:colOff>
      <xdr:row>185</xdr:row>
      <xdr:rowOff>112660</xdr:rowOff>
    </xdr:from>
    <xdr:to>
      <xdr:col>9</xdr:col>
      <xdr:colOff>557122</xdr:colOff>
      <xdr:row>202</xdr:row>
      <xdr:rowOff>180975</xdr:rowOff>
    </xdr:to>
    <xdr:graphicFrame macro="">
      <xdr:nvGraphicFramePr>
        <xdr:cNvPr id="24" name="Chart 1">
          <a:extLst>
            <a:ext uri="{FF2B5EF4-FFF2-40B4-BE49-F238E27FC236}">
              <a16:creationId xmlns:a16="http://schemas.microsoft.com/office/drawing/2014/main" id="{00000000-0008-0000-00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44929</xdr:colOff>
      <xdr:row>213</xdr:row>
      <xdr:rowOff>153628</xdr:rowOff>
    </xdr:from>
    <xdr:to>
      <xdr:col>9</xdr:col>
      <xdr:colOff>566108</xdr:colOff>
      <xdr:row>231</xdr:row>
      <xdr:rowOff>95249</xdr:rowOff>
    </xdr:to>
    <xdr:graphicFrame macro="">
      <xdr:nvGraphicFramePr>
        <xdr:cNvPr id="25" name="Chart 5">
          <a:extLst>
            <a:ext uri="{FF2B5EF4-FFF2-40B4-BE49-F238E27FC236}">
              <a16:creationId xmlns:a16="http://schemas.microsoft.com/office/drawing/2014/main" id="{00000000-0008-0000-00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143386</xdr:colOff>
      <xdr:row>241</xdr:row>
      <xdr:rowOff>133144</xdr:rowOff>
    </xdr:from>
    <xdr:to>
      <xdr:col>9</xdr:col>
      <xdr:colOff>530166</xdr:colOff>
      <xdr:row>258</xdr:row>
      <xdr:rowOff>68035</xdr:rowOff>
    </xdr:to>
    <xdr:graphicFrame macro="">
      <xdr:nvGraphicFramePr>
        <xdr:cNvPr id="26" name="Chart 1">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112661</xdr:colOff>
      <xdr:row>267</xdr:row>
      <xdr:rowOff>10241</xdr:rowOff>
    </xdr:from>
    <xdr:to>
      <xdr:col>9</xdr:col>
      <xdr:colOff>503207</xdr:colOff>
      <xdr:row>284</xdr:row>
      <xdr:rowOff>77755</xdr:rowOff>
    </xdr:to>
    <xdr:graphicFrame macro="">
      <xdr:nvGraphicFramePr>
        <xdr:cNvPr id="27" name="Chart 3">
          <a:extLst>
            <a:ext uri="{FF2B5EF4-FFF2-40B4-BE49-F238E27FC236}">
              <a16:creationId xmlns:a16="http://schemas.microsoft.com/office/drawing/2014/main" id="{00000000-0008-0000-00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21981</xdr:colOff>
      <xdr:row>52</xdr:row>
      <xdr:rowOff>7326</xdr:rowOff>
    </xdr:from>
    <xdr:to>
      <xdr:col>9</xdr:col>
      <xdr:colOff>485775</xdr:colOff>
      <xdr:row>67</xdr:row>
      <xdr:rowOff>109903</xdr:rowOff>
    </xdr:to>
    <xdr:graphicFrame macro="">
      <xdr:nvGraphicFramePr>
        <xdr:cNvPr id="11" name="Chart 1">
          <a:extLst>
            <a:ext uri="{FF2B5EF4-FFF2-40B4-BE49-F238E27FC236}">
              <a16:creationId xmlns:a16="http://schemas.microsoft.com/office/drawing/2014/main" id="{00000000-0008-0000-01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12371</xdr:colOff>
      <xdr:row>76</xdr:row>
      <xdr:rowOff>4947</xdr:rowOff>
    </xdr:from>
    <xdr:to>
      <xdr:col>9</xdr:col>
      <xdr:colOff>447676</xdr:colOff>
      <xdr:row>90</xdr:row>
      <xdr:rowOff>124556</xdr:rowOff>
    </xdr:to>
    <xdr:graphicFrame macro="">
      <xdr:nvGraphicFramePr>
        <xdr:cNvPr id="12" name="Chart 11">
          <a:extLst>
            <a:ext uri="{FF2B5EF4-FFF2-40B4-BE49-F238E27FC236}">
              <a16:creationId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41413</xdr:colOff>
      <xdr:row>176</xdr:row>
      <xdr:rowOff>41413</xdr:rowOff>
    </xdr:from>
    <xdr:to>
      <xdr:col>9</xdr:col>
      <xdr:colOff>513522</xdr:colOff>
      <xdr:row>192</xdr:row>
      <xdr:rowOff>91109</xdr:rowOff>
    </xdr:to>
    <xdr:graphicFrame macro="">
      <xdr:nvGraphicFramePr>
        <xdr:cNvPr id="10" name="Chart 9">
          <a:extLst>
            <a:ext uri="{FF2B5EF4-FFF2-40B4-BE49-F238E27FC236}">
              <a16:creationId xmlns:a16="http://schemas.microsoft.com/office/drawing/2014/main" id="{00000000-0008-0000-01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57976</xdr:colOff>
      <xdr:row>152</xdr:row>
      <xdr:rowOff>16566</xdr:rowOff>
    </xdr:from>
    <xdr:to>
      <xdr:col>9</xdr:col>
      <xdr:colOff>485775</xdr:colOff>
      <xdr:row>166</xdr:row>
      <xdr:rowOff>124240</xdr:rowOff>
    </xdr:to>
    <xdr:graphicFrame macro="">
      <xdr:nvGraphicFramePr>
        <xdr:cNvPr id="13" name="Chart 12">
          <a:extLst>
            <a:ext uri="{FF2B5EF4-FFF2-40B4-BE49-F238E27FC236}">
              <a16:creationId xmlns:a16="http://schemas.microsoft.com/office/drawing/2014/main" id="{00000000-0008-0000-01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49695</xdr:colOff>
      <xdr:row>200</xdr:row>
      <xdr:rowOff>99392</xdr:rowOff>
    </xdr:from>
    <xdr:to>
      <xdr:col>9</xdr:col>
      <xdr:colOff>505238</xdr:colOff>
      <xdr:row>217</xdr:row>
      <xdr:rowOff>16565</xdr:rowOff>
    </xdr:to>
    <xdr:graphicFrame macro="">
      <xdr:nvGraphicFramePr>
        <xdr:cNvPr id="14" name="Chart 13">
          <a:extLst>
            <a:ext uri="{FF2B5EF4-FFF2-40B4-BE49-F238E27FC236}">
              <a16:creationId xmlns:a16="http://schemas.microsoft.com/office/drawing/2014/main" id="{00000000-0008-0000-01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28574</xdr:colOff>
      <xdr:row>104</xdr:row>
      <xdr:rowOff>133350</xdr:rowOff>
    </xdr:from>
    <xdr:to>
      <xdr:col>9</xdr:col>
      <xdr:colOff>400049</xdr:colOff>
      <xdr:row>120</xdr:row>
      <xdr:rowOff>180975</xdr:rowOff>
    </xdr:to>
    <xdr:graphicFrame macro="">
      <xdr:nvGraphicFramePr>
        <xdr:cNvPr id="15" name="Chart 9">
          <a:extLst>
            <a:ext uri="{FF2B5EF4-FFF2-40B4-BE49-F238E27FC236}">
              <a16:creationId xmlns:a16="http://schemas.microsoft.com/office/drawing/2014/main" id="{00000000-0008-0000-01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219074</xdr:colOff>
      <xdr:row>107</xdr:row>
      <xdr:rowOff>66674</xdr:rowOff>
    </xdr:from>
    <xdr:to>
      <xdr:col>2</xdr:col>
      <xdr:colOff>314324</xdr:colOff>
      <xdr:row>119</xdr:row>
      <xdr:rowOff>56069</xdr:rowOff>
    </xdr:to>
    <xdr:grpSp>
      <xdr:nvGrpSpPr>
        <xdr:cNvPr id="16" name="Group 15">
          <a:extLst>
            <a:ext uri="{FF2B5EF4-FFF2-40B4-BE49-F238E27FC236}">
              <a16:creationId xmlns:a16="http://schemas.microsoft.com/office/drawing/2014/main" id="{00000000-0008-0000-0100-000010000000}"/>
            </a:ext>
          </a:extLst>
        </xdr:cNvPr>
        <xdr:cNvGrpSpPr/>
      </xdr:nvGrpSpPr>
      <xdr:grpSpPr>
        <a:xfrm>
          <a:off x="1156334" y="20290154"/>
          <a:ext cx="674370" cy="2183955"/>
          <a:chOff x="0" y="0"/>
          <a:chExt cx="458523" cy="2502751"/>
        </a:xfrm>
      </xdr:grpSpPr>
      <xdr:cxnSp macro="">
        <xdr:nvCxnSpPr>
          <xdr:cNvPr id="17" name="Straight Connector 16">
            <a:extLst>
              <a:ext uri="{FF2B5EF4-FFF2-40B4-BE49-F238E27FC236}">
                <a16:creationId xmlns:a16="http://schemas.microsoft.com/office/drawing/2014/main" id="{00000000-0008-0000-0100-000011000000}"/>
              </a:ext>
            </a:extLst>
          </xdr:cNvPr>
          <xdr:cNvCxnSpPr/>
        </xdr:nvCxnSpPr>
        <xdr:spPr>
          <a:xfrm flipH="1" flipV="1">
            <a:off x="260220" y="197068"/>
            <a:ext cx="30726" cy="2305683"/>
          </a:xfrm>
          <a:prstGeom prst="line">
            <a:avLst/>
          </a:prstGeom>
          <a:ln w="25400">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18" name="TextBox 20">
            <a:extLst>
              <a:ext uri="{FF2B5EF4-FFF2-40B4-BE49-F238E27FC236}">
                <a16:creationId xmlns:a16="http://schemas.microsoft.com/office/drawing/2014/main" id="{00000000-0008-0000-0100-000012000000}"/>
              </a:ext>
            </a:extLst>
          </xdr:cNvPr>
          <xdr:cNvSpPr txBox="1"/>
        </xdr:nvSpPr>
        <xdr:spPr>
          <a:xfrm>
            <a:off x="0" y="0"/>
            <a:ext cx="458523" cy="254523"/>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r>
              <a:rPr lang="en-US" sz="1100" b="1">
                <a:solidFill>
                  <a:srgbClr val="FF0000"/>
                </a:solidFill>
              </a:rPr>
              <a:t>Now</a:t>
            </a:r>
          </a:p>
        </xdr:txBody>
      </xdr:sp>
    </xdr:grpSp>
    <xdr:clientData/>
  </xdr:twoCellAnchor>
  <xdr:twoCellAnchor>
    <xdr:from>
      <xdr:col>0</xdr:col>
      <xdr:colOff>28575</xdr:colOff>
      <xdr:row>128</xdr:row>
      <xdr:rowOff>47625</xdr:rowOff>
    </xdr:from>
    <xdr:to>
      <xdr:col>9</xdr:col>
      <xdr:colOff>390525</xdr:colOff>
      <xdr:row>145</xdr:row>
      <xdr:rowOff>19050</xdr:rowOff>
    </xdr:to>
    <xdr:graphicFrame macro="">
      <xdr:nvGraphicFramePr>
        <xdr:cNvPr id="19" name="Chart 8">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123824</xdr:colOff>
      <xdr:row>130</xdr:row>
      <xdr:rowOff>9525</xdr:rowOff>
    </xdr:from>
    <xdr:to>
      <xdr:col>2</xdr:col>
      <xdr:colOff>219074</xdr:colOff>
      <xdr:row>143</xdr:row>
      <xdr:rowOff>122744</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1061084" y="24500205"/>
          <a:ext cx="674370" cy="2490659"/>
          <a:chOff x="0" y="0"/>
          <a:chExt cx="458523" cy="2502751"/>
        </a:xfrm>
      </xdr:grpSpPr>
      <xdr:cxnSp macro="">
        <xdr:nvCxnSpPr>
          <xdr:cNvPr id="21" name="Straight Connector 20">
            <a:extLst>
              <a:ext uri="{FF2B5EF4-FFF2-40B4-BE49-F238E27FC236}">
                <a16:creationId xmlns:a16="http://schemas.microsoft.com/office/drawing/2014/main" id="{00000000-0008-0000-0100-000015000000}"/>
              </a:ext>
            </a:extLst>
          </xdr:cNvPr>
          <xdr:cNvCxnSpPr/>
        </xdr:nvCxnSpPr>
        <xdr:spPr>
          <a:xfrm flipH="1" flipV="1">
            <a:off x="260220" y="197068"/>
            <a:ext cx="30726" cy="2305683"/>
          </a:xfrm>
          <a:prstGeom prst="line">
            <a:avLst/>
          </a:prstGeom>
          <a:ln w="25400">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22" name="TextBox 20">
            <a:extLst>
              <a:ext uri="{FF2B5EF4-FFF2-40B4-BE49-F238E27FC236}">
                <a16:creationId xmlns:a16="http://schemas.microsoft.com/office/drawing/2014/main" id="{00000000-0008-0000-0100-000016000000}"/>
              </a:ext>
            </a:extLst>
          </xdr:cNvPr>
          <xdr:cNvSpPr txBox="1"/>
        </xdr:nvSpPr>
        <xdr:spPr>
          <a:xfrm>
            <a:off x="0" y="0"/>
            <a:ext cx="458523" cy="254523"/>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r>
              <a:rPr lang="en-US" sz="1100" b="1">
                <a:solidFill>
                  <a:srgbClr val="FF0000"/>
                </a:solidFill>
              </a:rPr>
              <a:t>Now</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20483</xdr:colOff>
      <xdr:row>53</xdr:row>
      <xdr:rowOff>61451</xdr:rowOff>
    </xdr:from>
    <xdr:to>
      <xdr:col>9</xdr:col>
      <xdr:colOff>522338</xdr:colOff>
      <xdr:row>68</xdr:row>
      <xdr:rowOff>133144</xdr:rowOff>
    </xdr:to>
    <xdr:graphicFrame macro="">
      <xdr:nvGraphicFramePr>
        <xdr:cNvPr id="9" name="Chart 1">
          <a:extLst>
            <a:ext uri="{FF2B5EF4-FFF2-40B4-BE49-F238E27FC236}">
              <a16:creationId xmlns:a16="http://schemas.microsoft.com/office/drawing/2014/main" id="{00000000-0008-0000-0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10241</xdr:colOff>
      <xdr:row>77</xdr:row>
      <xdr:rowOff>61451</xdr:rowOff>
    </xdr:from>
    <xdr:to>
      <xdr:col>9</xdr:col>
      <xdr:colOff>501854</xdr:colOff>
      <xdr:row>92</xdr:row>
      <xdr:rowOff>71693</xdr:rowOff>
    </xdr:to>
    <xdr:graphicFrame macro="">
      <xdr:nvGraphicFramePr>
        <xdr:cNvPr id="10" name="Chart 9">
          <a:extLst>
            <a:ext uri="{FF2B5EF4-FFF2-40B4-BE49-F238E27FC236}">
              <a16:creationId xmlns:a16="http://schemas.microsoft.com/office/drawing/2014/main" id="{00000000-0008-0000-03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81935</xdr:colOff>
      <xdr:row>153</xdr:row>
      <xdr:rowOff>40968</xdr:rowOff>
    </xdr:from>
    <xdr:to>
      <xdr:col>9</xdr:col>
      <xdr:colOff>430161</xdr:colOff>
      <xdr:row>167</xdr:row>
      <xdr:rowOff>153629</xdr:rowOff>
    </xdr:to>
    <xdr:graphicFrame macro="">
      <xdr:nvGraphicFramePr>
        <xdr:cNvPr id="14" name="Chart 13">
          <a:extLst>
            <a:ext uri="{FF2B5EF4-FFF2-40B4-BE49-F238E27FC236}">
              <a16:creationId xmlns:a16="http://schemas.microsoft.com/office/drawing/2014/main" id="{00000000-0008-0000-03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10242</xdr:colOff>
      <xdr:row>177</xdr:row>
      <xdr:rowOff>71694</xdr:rowOff>
    </xdr:from>
    <xdr:to>
      <xdr:col>9</xdr:col>
      <xdr:colOff>522338</xdr:colOff>
      <xdr:row>193</xdr:row>
      <xdr:rowOff>102420</xdr:rowOff>
    </xdr:to>
    <xdr:graphicFrame macro="">
      <xdr:nvGraphicFramePr>
        <xdr:cNvPr id="15" name="Chart 14">
          <a:extLst>
            <a:ext uri="{FF2B5EF4-FFF2-40B4-BE49-F238E27FC236}">
              <a16:creationId xmlns:a16="http://schemas.microsoft.com/office/drawing/2014/main" id="{00000000-0008-0000-03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51209</xdr:colOff>
      <xdr:row>201</xdr:row>
      <xdr:rowOff>81936</xdr:rowOff>
    </xdr:from>
    <xdr:to>
      <xdr:col>9</xdr:col>
      <xdr:colOff>460887</xdr:colOff>
      <xdr:row>217</xdr:row>
      <xdr:rowOff>153629</xdr:rowOff>
    </xdr:to>
    <xdr:graphicFrame macro="">
      <xdr:nvGraphicFramePr>
        <xdr:cNvPr id="17" name="Chart 16">
          <a:extLst>
            <a:ext uri="{FF2B5EF4-FFF2-40B4-BE49-F238E27FC236}">
              <a16:creationId xmlns:a16="http://schemas.microsoft.com/office/drawing/2014/main" id="{00000000-0008-0000-03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30724</xdr:colOff>
      <xdr:row>105</xdr:row>
      <xdr:rowOff>20484</xdr:rowOff>
    </xdr:from>
    <xdr:to>
      <xdr:col>9</xdr:col>
      <xdr:colOff>307257</xdr:colOff>
      <xdr:row>122</xdr:row>
      <xdr:rowOff>0</xdr:rowOff>
    </xdr:to>
    <xdr:graphicFrame macro="">
      <xdr:nvGraphicFramePr>
        <xdr:cNvPr id="8" name="Chart 9">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40969</xdr:colOff>
      <xdr:row>129</xdr:row>
      <xdr:rowOff>51210</xdr:rowOff>
    </xdr:from>
    <xdr:to>
      <xdr:col>9</xdr:col>
      <xdr:colOff>399437</xdr:colOff>
      <xdr:row>146</xdr:row>
      <xdr:rowOff>10241</xdr:rowOff>
    </xdr:to>
    <xdr:graphicFrame macro="">
      <xdr:nvGraphicFramePr>
        <xdr:cNvPr id="11" name="Chart 8">
          <a:extLst>
            <a:ext uri="{FF2B5EF4-FFF2-40B4-BE49-F238E27FC236}">
              <a16:creationId xmlns:a16="http://schemas.microsoft.com/office/drawing/2014/main" id="{00000000-0008-0000-03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0.21227</cdr:x>
      <cdr:y>0.1838</cdr:y>
    </cdr:from>
    <cdr:to>
      <cdr:x>0.29352</cdr:x>
      <cdr:y>0.91689</cdr:y>
    </cdr:to>
    <cdr:grpSp>
      <cdr:nvGrpSpPr>
        <cdr:cNvPr id="2" name="Group 1">
          <a:extLst xmlns:a="http://schemas.openxmlformats.org/drawingml/2006/main">
            <a:ext uri="{FF2B5EF4-FFF2-40B4-BE49-F238E27FC236}">
              <a16:creationId xmlns:a16="http://schemas.microsoft.com/office/drawing/2014/main" id="{437BC0FC-3B9E-4DDE-A749-5DEC2B5CA0FE}"/>
            </a:ext>
          </a:extLst>
        </cdr:cNvPr>
        <cdr:cNvGrpSpPr/>
      </cdr:nvGrpSpPr>
      <cdr:grpSpPr>
        <a:xfrm xmlns:a="http://schemas.openxmlformats.org/drawingml/2006/main">
          <a:off x="1202513" y="572564"/>
          <a:ext cx="460282" cy="2283682"/>
          <a:chOff x="0" y="0"/>
          <a:chExt cx="310883" cy="2752824"/>
        </a:xfrm>
      </cdr:grpSpPr>
      <cdr:cxnSp macro="">
        <cdr:nvCxnSpPr>
          <cdr:cNvPr id="3" name="Straight Connector 2">
            <a:extLst xmlns:a="http://schemas.openxmlformats.org/drawingml/2006/main">
              <a:ext uri="{FF2B5EF4-FFF2-40B4-BE49-F238E27FC236}">
                <a16:creationId xmlns:a16="http://schemas.microsoft.com/office/drawing/2014/main" id="{50919703-D631-4797-9A33-92730E7B5B87}"/>
              </a:ext>
            </a:extLst>
          </cdr:cNvPr>
          <cdr:cNvCxnSpPr/>
        </cdr:nvCxnSpPr>
        <cdr:spPr>
          <a:xfrm xmlns:a="http://schemas.openxmlformats.org/drawingml/2006/main" flipH="1" flipV="1">
            <a:off x="176431" y="216759"/>
            <a:ext cx="20832" cy="2536065"/>
          </a:xfrm>
          <a:prstGeom xmlns:a="http://schemas.openxmlformats.org/drawingml/2006/main" prst="line">
            <a:avLst/>
          </a:prstGeom>
          <a:ln xmlns:a="http://schemas.openxmlformats.org/drawingml/2006/main" w="25400">
            <a:solidFill>
              <a:srgbClr val="FF0000"/>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4" name="TextBox 20">
            <a:extLst xmlns:a="http://schemas.openxmlformats.org/drawingml/2006/main">
              <a:ext uri="{FF2B5EF4-FFF2-40B4-BE49-F238E27FC236}">
                <a16:creationId xmlns:a16="http://schemas.microsoft.com/office/drawing/2014/main" id="{37BA3899-C0EF-42C2-8DBA-D4DB74BA160F}"/>
              </a:ext>
            </a:extLst>
          </cdr:cNvPr>
          <cdr:cNvSpPr txBox="1"/>
        </cdr:nvSpPr>
        <cdr:spPr>
          <a:xfrm xmlns:a="http://schemas.openxmlformats.org/drawingml/2006/main">
            <a:off x="0" y="0"/>
            <a:ext cx="310883" cy="27995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b="1">
                <a:solidFill>
                  <a:srgbClr val="FF0000"/>
                </a:solidFill>
              </a:rPr>
              <a:t>Now</a:t>
            </a:r>
          </a:p>
        </cdr:txBody>
      </cdr:sp>
    </cdr:grpSp>
  </cdr:relSizeAnchor>
</c:userShapes>
</file>

<file path=xl/drawings/drawing5.xml><?xml version="1.0" encoding="utf-8"?>
<c:userShapes xmlns:c="http://schemas.openxmlformats.org/drawingml/2006/chart">
  <cdr:relSizeAnchor xmlns:cdr="http://schemas.openxmlformats.org/drawingml/2006/chartDrawing">
    <cdr:from>
      <cdr:x>0.15735</cdr:x>
      <cdr:y>0.10658</cdr:y>
    </cdr:from>
    <cdr:to>
      <cdr:x>0.28801</cdr:x>
      <cdr:y>0.91141</cdr:y>
    </cdr:to>
    <cdr:grpSp>
      <cdr:nvGrpSpPr>
        <cdr:cNvPr id="2" name="Group 1">
          <a:extLst xmlns:a="http://schemas.openxmlformats.org/drawingml/2006/main">
            <a:ext uri="{FF2B5EF4-FFF2-40B4-BE49-F238E27FC236}">
              <a16:creationId xmlns:a16="http://schemas.microsoft.com/office/drawing/2014/main" id="{437BC0FC-3B9E-4DDE-A749-5DEC2B5CA0FE}"/>
            </a:ext>
          </a:extLst>
        </cdr:cNvPr>
        <cdr:cNvGrpSpPr/>
      </cdr:nvGrpSpPr>
      <cdr:grpSpPr>
        <a:xfrm xmlns:a="http://schemas.openxmlformats.org/drawingml/2006/main">
          <a:off x="905182" y="329910"/>
          <a:ext cx="751643" cy="2491289"/>
          <a:chOff x="0" y="0"/>
          <a:chExt cx="210783" cy="3144201"/>
        </a:xfrm>
      </cdr:grpSpPr>
      <cdr:cxnSp macro="">
        <cdr:nvCxnSpPr>
          <cdr:cNvPr id="3" name="Straight Connector 2">
            <a:extLst xmlns:a="http://schemas.openxmlformats.org/drawingml/2006/main">
              <a:ext uri="{FF2B5EF4-FFF2-40B4-BE49-F238E27FC236}">
                <a16:creationId xmlns:a16="http://schemas.microsoft.com/office/drawing/2014/main" id="{50919703-D631-4797-9A33-92730E7B5B87}"/>
              </a:ext>
            </a:extLst>
          </cdr:cNvPr>
          <cdr:cNvCxnSpPr/>
        </cdr:nvCxnSpPr>
        <cdr:spPr>
          <a:xfrm xmlns:a="http://schemas.openxmlformats.org/drawingml/2006/main" flipH="1" flipV="1">
            <a:off x="119623" y="247576"/>
            <a:ext cx="14124" cy="2896625"/>
          </a:xfrm>
          <a:prstGeom xmlns:a="http://schemas.openxmlformats.org/drawingml/2006/main" prst="line">
            <a:avLst/>
          </a:prstGeom>
          <a:ln xmlns:a="http://schemas.openxmlformats.org/drawingml/2006/main" w="25400">
            <a:solidFill>
              <a:srgbClr val="FF0000"/>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4" name="TextBox 20">
            <a:extLst xmlns:a="http://schemas.openxmlformats.org/drawingml/2006/main">
              <a:ext uri="{FF2B5EF4-FFF2-40B4-BE49-F238E27FC236}">
                <a16:creationId xmlns:a16="http://schemas.microsoft.com/office/drawing/2014/main" id="{37BA3899-C0EF-42C2-8DBA-D4DB74BA160F}"/>
              </a:ext>
            </a:extLst>
          </cdr:cNvPr>
          <cdr:cNvSpPr txBox="1"/>
        </cdr:nvSpPr>
        <cdr:spPr>
          <a:xfrm xmlns:a="http://schemas.openxmlformats.org/drawingml/2006/main">
            <a:off x="0" y="0"/>
            <a:ext cx="210783" cy="31975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b="1">
                <a:solidFill>
                  <a:srgbClr val="FF0000"/>
                </a:solidFill>
              </a:rPr>
              <a:t>Now</a:t>
            </a:r>
          </a:p>
        </cdr:txBody>
      </cdr:sp>
    </cdr:grpSp>
  </cdr:relSizeAnchor>
</c:userShapes>
</file>

<file path=xl/drawings/drawing6.xml><?xml version="1.0" encoding="utf-8"?>
<xdr:wsDr xmlns:xdr="http://schemas.openxmlformats.org/drawingml/2006/spreadsheetDrawing" xmlns:a="http://schemas.openxmlformats.org/drawingml/2006/main">
  <xdr:twoCellAnchor>
    <xdr:from>
      <xdr:col>0</xdr:col>
      <xdr:colOff>30724</xdr:colOff>
      <xdr:row>52</xdr:row>
      <xdr:rowOff>30725</xdr:rowOff>
    </xdr:from>
    <xdr:to>
      <xdr:col>9</xdr:col>
      <xdr:colOff>522337</xdr:colOff>
      <xdr:row>67</xdr:row>
      <xdr:rowOff>102419</xdr:rowOff>
    </xdr:to>
    <xdr:graphicFrame macro="">
      <xdr:nvGraphicFramePr>
        <xdr:cNvPr id="9" name="Chart 1">
          <a:extLst>
            <a:ext uri="{FF2B5EF4-FFF2-40B4-BE49-F238E27FC236}">
              <a16:creationId xmlns:a16="http://schemas.microsoft.com/office/drawing/2014/main" id="{00000000-0008-0000-05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10242</xdr:colOff>
      <xdr:row>76</xdr:row>
      <xdr:rowOff>0</xdr:rowOff>
    </xdr:from>
    <xdr:to>
      <xdr:col>9</xdr:col>
      <xdr:colOff>522338</xdr:colOff>
      <xdr:row>91</xdr:row>
      <xdr:rowOff>102419</xdr:rowOff>
    </xdr:to>
    <xdr:graphicFrame macro="">
      <xdr:nvGraphicFramePr>
        <xdr:cNvPr id="10" name="Chart 9">
          <a:extLst>
            <a:ext uri="{FF2B5EF4-FFF2-40B4-BE49-F238E27FC236}">
              <a16:creationId xmlns:a16="http://schemas.microsoft.com/office/drawing/2014/main" id="{00000000-0008-0000-0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51209</xdr:colOff>
      <xdr:row>152</xdr:row>
      <xdr:rowOff>10241</xdr:rowOff>
    </xdr:from>
    <xdr:to>
      <xdr:col>9</xdr:col>
      <xdr:colOff>501854</xdr:colOff>
      <xdr:row>166</xdr:row>
      <xdr:rowOff>81935</xdr:rowOff>
    </xdr:to>
    <xdr:graphicFrame macro="">
      <xdr:nvGraphicFramePr>
        <xdr:cNvPr id="14" name="Chart 13">
          <a:extLst>
            <a:ext uri="{FF2B5EF4-FFF2-40B4-BE49-F238E27FC236}">
              <a16:creationId xmlns:a16="http://schemas.microsoft.com/office/drawing/2014/main" id="{00000000-0008-0000-05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61452</xdr:colOff>
      <xdr:row>176</xdr:row>
      <xdr:rowOff>30726</xdr:rowOff>
    </xdr:from>
    <xdr:to>
      <xdr:col>9</xdr:col>
      <xdr:colOff>532580</xdr:colOff>
      <xdr:row>192</xdr:row>
      <xdr:rowOff>20484</xdr:rowOff>
    </xdr:to>
    <xdr:graphicFrame macro="">
      <xdr:nvGraphicFramePr>
        <xdr:cNvPr id="15" name="Chart 14">
          <a:extLst>
            <a:ext uri="{FF2B5EF4-FFF2-40B4-BE49-F238E27FC236}">
              <a16:creationId xmlns:a16="http://schemas.microsoft.com/office/drawing/2014/main" id="{00000000-0008-0000-05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200</xdr:row>
      <xdr:rowOff>81936</xdr:rowOff>
    </xdr:from>
    <xdr:to>
      <xdr:col>9</xdr:col>
      <xdr:colOff>501854</xdr:colOff>
      <xdr:row>216</xdr:row>
      <xdr:rowOff>153629</xdr:rowOff>
    </xdr:to>
    <xdr:graphicFrame macro="">
      <xdr:nvGraphicFramePr>
        <xdr:cNvPr id="16" name="Chart 15">
          <a:extLst>
            <a:ext uri="{FF2B5EF4-FFF2-40B4-BE49-F238E27FC236}">
              <a16:creationId xmlns:a16="http://schemas.microsoft.com/office/drawing/2014/main" id="{00000000-0008-0000-05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40967</xdr:colOff>
      <xdr:row>104</xdr:row>
      <xdr:rowOff>10242</xdr:rowOff>
    </xdr:from>
    <xdr:to>
      <xdr:col>9</xdr:col>
      <xdr:colOff>491612</xdr:colOff>
      <xdr:row>121</xdr:row>
      <xdr:rowOff>20483</xdr:rowOff>
    </xdr:to>
    <xdr:graphicFrame macro="">
      <xdr:nvGraphicFramePr>
        <xdr:cNvPr id="13" name="Chart 9">
          <a:extLst>
            <a:ext uri="{FF2B5EF4-FFF2-40B4-BE49-F238E27FC236}">
              <a16:creationId xmlns:a16="http://schemas.microsoft.com/office/drawing/2014/main" id="{00000000-0008-0000-05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40968</xdr:colOff>
      <xdr:row>128</xdr:row>
      <xdr:rowOff>10242</xdr:rowOff>
    </xdr:from>
    <xdr:to>
      <xdr:col>9</xdr:col>
      <xdr:colOff>491613</xdr:colOff>
      <xdr:row>145</xdr:row>
      <xdr:rowOff>10242</xdr:rowOff>
    </xdr:to>
    <xdr:graphicFrame macro="">
      <xdr:nvGraphicFramePr>
        <xdr:cNvPr id="17" name="Chart 8">
          <a:extLst>
            <a:ext uri="{FF2B5EF4-FFF2-40B4-BE49-F238E27FC236}">
              <a16:creationId xmlns:a16="http://schemas.microsoft.com/office/drawing/2014/main" id="{00000000-0008-0000-05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0.18569</cdr:x>
      <cdr:y>0.17901</cdr:y>
    </cdr:from>
    <cdr:to>
      <cdr:x>0.30382</cdr:x>
      <cdr:y>0.90739</cdr:y>
    </cdr:to>
    <cdr:grpSp>
      <cdr:nvGrpSpPr>
        <cdr:cNvPr id="2" name="Group 1">
          <a:extLst xmlns:a="http://schemas.openxmlformats.org/drawingml/2006/main">
            <a:ext uri="{FF2B5EF4-FFF2-40B4-BE49-F238E27FC236}">
              <a16:creationId xmlns:a16="http://schemas.microsoft.com/office/drawing/2014/main" id="{437BC0FC-3B9E-4DDE-A749-5DEC2B5CA0FE}"/>
            </a:ext>
          </a:extLst>
        </cdr:cNvPr>
        <cdr:cNvGrpSpPr/>
      </cdr:nvGrpSpPr>
      <cdr:grpSpPr>
        <a:xfrm xmlns:a="http://schemas.openxmlformats.org/drawingml/2006/main">
          <a:off x="1100186" y="562938"/>
          <a:ext cx="699903" cy="2290557"/>
          <a:chOff x="0" y="0"/>
          <a:chExt cx="59392" cy="3759633"/>
        </a:xfrm>
      </cdr:grpSpPr>
      <cdr:cxnSp macro="">
        <cdr:nvCxnSpPr>
          <cdr:cNvPr id="3" name="Straight Connector 2">
            <a:extLst xmlns:a="http://schemas.openxmlformats.org/drawingml/2006/main">
              <a:ext uri="{FF2B5EF4-FFF2-40B4-BE49-F238E27FC236}">
                <a16:creationId xmlns:a16="http://schemas.microsoft.com/office/drawing/2014/main" id="{50919703-D631-4797-9A33-92730E7B5B87}"/>
              </a:ext>
            </a:extLst>
          </cdr:cNvPr>
          <cdr:cNvCxnSpPr/>
        </cdr:nvCxnSpPr>
        <cdr:spPr>
          <a:xfrm xmlns:a="http://schemas.openxmlformats.org/drawingml/2006/main" flipH="1" flipV="1">
            <a:off x="33706" y="296035"/>
            <a:ext cx="3980" cy="3463598"/>
          </a:xfrm>
          <a:prstGeom xmlns:a="http://schemas.openxmlformats.org/drawingml/2006/main" prst="line">
            <a:avLst/>
          </a:prstGeom>
          <a:ln xmlns:a="http://schemas.openxmlformats.org/drawingml/2006/main" w="25400">
            <a:solidFill>
              <a:srgbClr val="FF0000"/>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4" name="TextBox 20">
            <a:extLst xmlns:a="http://schemas.openxmlformats.org/drawingml/2006/main">
              <a:ext uri="{FF2B5EF4-FFF2-40B4-BE49-F238E27FC236}">
                <a16:creationId xmlns:a16="http://schemas.microsoft.com/office/drawing/2014/main" id="{37BA3899-C0EF-42C2-8DBA-D4DB74BA160F}"/>
              </a:ext>
            </a:extLst>
          </cdr:cNvPr>
          <cdr:cNvSpPr txBox="1"/>
        </cdr:nvSpPr>
        <cdr:spPr>
          <a:xfrm xmlns:a="http://schemas.openxmlformats.org/drawingml/2006/main">
            <a:off x="0" y="0"/>
            <a:ext cx="59392" cy="38234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b="1">
                <a:solidFill>
                  <a:srgbClr val="FF0000"/>
                </a:solidFill>
              </a:rPr>
              <a:t>Now</a:t>
            </a:r>
          </a:p>
        </cdr:txBody>
      </cdr:sp>
    </cdr:grpSp>
  </cdr:relSizeAnchor>
</c:userShapes>
</file>

<file path=xl/drawings/drawing8.xml><?xml version="1.0" encoding="utf-8"?>
<c:userShapes xmlns:c="http://schemas.openxmlformats.org/drawingml/2006/chart">
  <cdr:relSizeAnchor xmlns:cdr="http://schemas.openxmlformats.org/drawingml/2006/chartDrawing">
    <cdr:from>
      <cdr:x>0.15965</cdr:x>
      <cdr:y>0.11145</cdr:y>
    </cdr:from>
    <cdr:to>
      <cdr:x>0.29687</cdr:x>
      <cdr:y>0.91331</cdr:y>
    </cdr:to>
    <cdr:grpSp>
      <cdr:nvGrpSpPr>
        <cdr:cNvPr id="2" name="Group 1">
          <a:extLst xmlns:a="http://schemas.openxmlformats.org/drawingml/2006/main">
            <a:ext uri="{FF2B5EF4-FFF2-40B4-BE49-F238E27FC236}">
              <a16:creationId xmlns:a16="http://schemas.microsoft.com/office/drawing/2014/main" id="{437BC0FC-3B9E-4DDE-A749-5DEC2B5CA0FE}"/>
            </a:ext>
          </a:extLst>
        </cdr:cNvPr>
        <cdr:cNvGrpSpPr/>
      </cdr:nvGrpSpPr>
      <cdr:grpSpPr>
        <a:xfrm xmlns:a="http://schemas.openxmlformats.org/drawingml/2006/main">
          <a:off x="945903" y="349381"/>
          <a:ext cx="813008" cy="2513725"/>
          <a:chOff x="0" y="0"/>
          <a:chExt cx="5062" cy="5848037"/>
        </a:xfrm>
      </cdr:grpSpPr>
      <cdr:cxnSp macro="">
        <cdr:nvCxnSpPr>
          <cdr:cNvPr id="3" name="Straight Connector 2">
            <a:extLst xmlns:a="http://schemas.openxmlformats.org/drawingml/2006/main">
              <a:ext uri="{FF2B5EF4-FFF2-40B4-BE49-F238E27FC236}">
                <a16:creationId xmlns:a16="http://schemas.microsoft.com/office/drawing/2014/main" id="{50919703-D631-4797-9A33-92730E7B5B87}"/>
              </a:ext>
            </a:extLst>
          </cdr:cNvPr>
          <cdr:cNvCxnSpPr/>
        </cdr:nvCxnSpPr>
        <cdr:spPr>
          <a:xfrm xmlns:a="http://schemas.openxmlformats.org/drawingml/2006/main" flipH="1" flipV="1">
            <a:off x="2873" y="460477"/>
            <a:ext cx="339" cy="5387560"/>
          </a:xfrm>
          <a:prstGeom xmlns:a="http://schemas.openxmlformats.org/drawingml/2006/main" prst="line">
            <a:avLst/>
          </a:prstGeom>
          <a:ln xmlns:a="http://schemas.openxmlformats.org/drawingml/2006/main" w="25400">
            <a:solidFill>
              <a:srgbClr val="FF0000"/>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4" name="TextBox 20">
            <a:extLst xmlns:a="http://schemas.openxmlformats.org/drawingml/2006/main">
              <a:ext uri="{FF2B5EF4-FFF2-40B4-BE49-F238E27FC236}">
                <a16:creationId xmlns:a16="http://schemas.microsoft.com/office/drawing/2014/main" id="{37BA3899-C0EF-42C2-8DBA-D4DB74BA160F}"/>
              </a:ext>
            </a:extLst>
          </cdr:cNvPr>
          <cdr:cNvSpPr txBox="1"/>
        </cdr:nvSpPr>
        <cdr:spPr>
          <a:xfrm xmlns:a="http://schemas.openxmlformats.org/drawingml/2006/main">
            <a:off x="0" y="0"/>
            <a:ext cx="5062" cy="59473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b="1">
                <a:solidFill>
                  <a:srgbClr val="FF0000"/>
                </a:solidFill>
              </a:rPr>
              <a:t>Now</a:t>
            </a:r>
          </a:p>
        </cdr:txBody>
      </cdr:sp>
    </cdr:grpSp>
  </cdr:relSizeAnchor>
</c:userShapes>
</file>

<file path=xl/drawings/drawing9.xml><?xml version="1.0" encoding="utf-8"?>
<xdr:wsDr xmlns:xdr="http://schemas.openxmlformats.org/drawingml/2006/spreadsheetDrawing" xmlns:a="http://schemas.openxmlformats.org/drawingml/2006/main">
  <xdr:twoCellAnchor>
    <xdr:from>
      <xdr:col>0</xdr:col>
      <xdr:colOff>30725</xdr:colOff>
      <xdr:row>52</xdr:row>
      <xdr:rowOff>10241</xdr:rowOff>
    </xdr:from>
    <xdr:to>
      <xdr:col>9</xdr:col>
      <xdr:colOff>460887</xdr:colOff>
      <xdr:row>67</xdr:row>
      <xdr:rowOff>133144</xdr:rowOff>
    </xdr:to>
    <xdr:graphicFrame macro="">
      <xdr:nvGraphicFramePr>
        <xdr:cNvPr id="9" name="Chart 1">
          <a:extLst>
            <a:ext uri="{FF2B5EF4-FFF2-40B4-BE49-F238E27FC236}">
              <a16:creationId xmlns:a16="http://schemas.microsoft.com/office/drawing/2014/main" id="{00000000-0008-0000-07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30726</xdr:colOff>
      <xdr:row>75</xdr:row>
      <xdr:rowOff>194596</xdr:rowOff>
    </xdr:from>
    <xdr:to>
      <xdr:col>9</xdr:col>
      <xdr:colOff>481370</xdr:colOff>
      <xdr:row>91</xdr:row>
      <xdr:rowOff>122902</xdr:rowOff>
    </xdr:to>
    <xdr:graphicFrame macro="">
      <xdr:nvGraphicFramePr>
        <xdr:cNvPr id="10" name="Chart 9">
          <a:extLst>
            <a:ext uri="{FF2B5EF4-FFF2-40B4-BE49-F238E27FC236}">
              <a16:creationId xmlns:a16="http://schemas.microsoft.com/office/drawing/2014/main" id="{00000000-0008-0000-07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10241</xdr:colOff>
      <xdr:row>152</xdr:row>
      <xdr:rowOff>20484</xdr:rowOff>
    </xdr:from>
    <xdr:to>
      <xdr:col>9</xdr:col>
      <xdr:colOff>491612</xdr:colOff>
      <xdr:row>166</xdr:row>
      <xdr:rowOff>143387</xdr:rowOff>
    </xdr:to>
    <xdr:graphicFrame macro="">
      <xdr:nvGraphicFramePr>
        <xdr:cNvPr id="14" name="Chart 13">
          <a:extLst>
            <a:ext uri="{FF2B5EF4-FFF2-40B4-BE49-F238E27FC236}">
              <a16:creationId xmlns:a16="http://schemas.microsoft.com/office/drawing/2014/main" id="{00000000-0008-0000-07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20484</xdr:colOff>
      <xdr:row>176</xdr:row>
      <xdr:rowOff>0</xdr:rowOff>
    </xdr:from>
    <xdr:to>
      <xdr:col>9</xdr:col>
      <xdr:colOff>501855</xdr:colOff>
      <xdr:row>192</xdr:row>
      <xdr:rowOff>81936</xdr:rowOff>
    </xdr:to>
    <xdr:graphicFrame macro="">
      <xdr:nvGraphicFramePr>
        <xdr:cNvPr id="15" name="Chart 14">
          <a:extLst>
            <a:ext uri="{FF2B5EF4-FFF2-40B4-BE49-F238E27FC236}">
              <a16:creationId xmlns:a16="http://schemas.microsoft.com/office/drawing/2014/main" id="{00000000-0008-0000-07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10241</xdr:colOff>
      <xdr:row>200</xdr:row>
      <xdr:rowOff>51210</xdr:rowOff>
    </xdr:from>
    <xdr:to>
      <xdr:col>9</xdr:col>
      <xdr:colOff>460886</xdr:colOff>
      <xdr:row>217</xdr:row>
      <xdr:rowOff>51210</xdr:rowOff>
    </xdr:to>
    <xdr:graphicFrame macro="">
      <xdr:nvGraphicFramePr>
        <xdr:cNvPr id="17" name="Chart 16">
          <a:extLst>
            <a:ext uri="{FF2B5EF4-FFF2-40B4-BE49-F238E27FC236}">
              <a16:creationId xmlns:a16="http://schemas.microsoft.com/office/drawing/2014/main" id="{00000000-0008-0000-07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51209</xdr:colOff>
      <xdr:row>104</xdr:row>
      <xdr:rowOff>31442</xdr:rowOff>
    </xdr:from>
    <xdr:to>
      <xdr:col>9</xdr:col>
      <xdr:colOff>471129</xdr:colOff>
      <xdr:row>120</xdr:row>
      <xdr:rowOff>163871</xdr:rowOff>
    </xdr:to>
    <xdr:graphicFrame macro="">
      <xdr:nvGraphicFramePr>
        <xdr:cNvPr id="13" name="Chart 9">
          <a:extLst>
            <a:ext uri="{FF2B5EF4-FFF2-40B4-BE49-F238E27FC236}">
              <a16:creationId xmlns:a16="http://schemas.microsoft.com/office/drawing/2014/main" id="{00000000-0008-0000-07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40968</xdr:colOff>
      <xdr:row>128</xdr:row>
      <xdr:rowOff>40967</xdr:rowOff>
    </xdr:from>
    <xdr:to>
      <xdr:col>9</xdr:col>
      <xdr:colOff>471129</xdr:colOff>
      <xdr:row>144</xdr:row>
      <xdr:rowOff>174112</xdr:rowOff>
    </xdr:to>
    <xdr:graphicFrame macro="">
      <xdr:nvGraphicFramePr>
        <xdr:cNvPr id="16" name="Chart 8">
          <a:extLst>
            <a:ext uri="{FF2B5EF4-FFF2-40B4-BE49-F238E27FC236}">
              <a16:creationId xmlns:a16="http://schemas.microsoft.com/office/drawing/2014/main" id="{00000000-0008-0000-07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0.17692</cdr:x>
      <cdr:y>0.1891</cdr:y>
    </cdr:from>
    <cdr:to>
      <cdr:x>0.31504</cdr:x>
      <cdr:y>0.91796</cdr:y>
    </cdr:to>
    <cdr:grpSp>
      <cdr:nvGrpSpPr>
        <cdr:cNvPr id="2" name="Group 1">
          <a:extLst xmlns:a="http://schemas.openxmlformats.org/drawingml/2006/main">
            <a:ext uri="{FF2B5EF4-FFF2-40B4-BE49-F238E27FC236}">
              <a16:creationId xmlns:a16="http://schemas.microsoft.com/office/drawing/2014/main" id="{437BC0FC-3B9E-4DDE-A749-5DEC2B5CA0FE}"/>
            </a:ext>
          </a:extLst>
        </cdr:cNvPr>
        <cdr:cNvGrpSpPr/>
      </cdr:nvGrpSpPr>
      <cdr:grpSpPr>
        <a:xfrm xmlns:a="http://schemas.openxmlformats.org/drawingml/2006/main">
          <a:off x="1029308" y="582255"/>
          <a:ext cx="803572" cy="2244220"/>
          <a:chOff x="0" y="0"/>
          <a:chExt cx="5062" cy="5848037"/>
        </a:xfrm>
      </cdr:grpSpPr>
      <cdr:cxnSp macro="">
        <cdr:nvCxnSpPr>
          <cdr:cNvPr id="3" name="Straight Connector 2">
            <a:extLst xmlns:a="http://schemas.openxmlformats.org/drawingml/2006/main">
              <a:ext uri="{FF2B5EF4-FFF2-40B4-BE49-F238E27FC236}">
                <a16:creationId xmlns:a16="http://schemas.microsoft.com/office/drawing/2014/main" id="{50919703-D631-4797-9A33-92730E7B5B87}"/>
              </a:ext>
            </a:extLst>
          </cdr:cNvPr>
          <cdr:cNvCxnSpPr/>
        </cdr:nvCxnSpPr>
        <cdr:spPr>
          <a:xfrm xmlns:a="http://schemas.openxmlformats.org/drawingml/2006/main" flipH="1" flipV="1">
            <a:off x="2873" y="460477"/>
            <a:ext cx="339" cy="5387560"/>
          </a:xfrm>
          <a:prstGeom xmlns:a="http://schemas.openxmlformats.org/drawingml/2006/main" prst="line">
            <a:avLst/>
          </a:prstGeom>
          <a:ln xmlns:a="http://schemas.openxmlformats.org/drawingml/2006/main" w="25400">
            <a:solidFill>
              <a:srgbClr val="FF0000"/>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4" name="TextBox 20">
            <a:extLst xmlns:a="http://schemas.openxmlformats.org/drawingml/2006/main">
              <a:ext uri="{FF2B5EF4-FFF2-40B4-BE49-F238E27FC236}">
                <a16:creationId xmlns:a16="http://schemas.microsoft.com/office/drawing/2014/main" id="{37BA3899-C0EF-42C2-8DBA-D4DB74BA160F}"/>
              </a:ext>
            </a:extLst>
          </cdr:cNvPr>
          <cdr:cNvSpPr txBox="1"/>
        </cdr:nvSpPr>
        <cdr:spPr>
          <a:xfrm xmlns:a="http://schemas.openxmlformats.org/drawingml/2006/main">
            <a:off x="0" y="0"/>
            <a:ext cx="5062" cy="59473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b="1">
                <a:solidFill>
                  <a:srgbClr val="FF0000"/>
                </a:solidFill>
              </a:rPr>
              <a:t>Now</a:t>
            </a:r>
          </a:p>
        </cdr:txBody>
      </cdr:sp>
    </cdr:grpSp>
  </cdr:relSizeAnchor>
</c:userShapes>
</file>

<file path=xl/drawings/drawing11.xml><?xml version="1.0" encoding="utf-8"?>
<c:userShapes xmlns:c="http://schemas.openxmlformats.org/drawingml/2006/chart">
  <cdr:relSizeAnchor xmlns:cdr="http://schemas.openxmlformats.org/drawingml/2006/chartDrawing">
    <cdr:from>
      <cdr:x>0.17668</cdr:x>
      <cdr:y>0.07571</cdr:y>
    </cdr:from>
    <cdr:to>
      <cdr:x>0.30212</cdr:x>
      <cdr:y>0.91483</cdr:y>
    </cdr:to>
    <cdr:grpSp>
      <cdr:nvGrpSpPr>
        <cdr:cNvPr id="2" name="Group 1">
          <a:extLst xmlns:a="http://schemas.openxmlformats.org/drawingml/2006/main">
            <a:ext uri="{FF2B5EF4-FFF2-40B4-BE49-F238E27FC236}">
              <a16:creationId xmlns:a16="http://schemas.microsoft.com/office/drawing/2014/main" id="{437BC0FC-3B9E-4DDE-A749-5DEC2B5CA0FE}"/>
            </a:ext>
          </a:extLst>
        </cdr:cNvPr>
        <cdr:cNvGrpSpPr/>
      </cdr:nvGrpSpPr>
      <cdr:grpSpPr>
        <a:xfrm xmlns:a="http://schemas.openxmlformats.org/drawingml/2006/main">
          <a:off x="1029923" y="233172"/>
          <a:ext cx="731229" cy="2584321"/>
          <a:chOff x="0" y="0"/>
          <a:chExt cx="32" cy="14455265"/>
        </a:xfrm>
      </cdr:grpSpPr>
      <cdr:cxnSp macro="">
        <cdr:nvCxnSpPr>
          <cdr:cNvPr id="3" name="Straight Connector 2">
            <a:extLst xmlns:a="http://schemas.openxmlformats.org/drawingml/2006/main">
              <a:ext uri="{FF2B5EF4-FFF2-40B4-BE49-F238E27FC236}">
                <a16:creationId xmlns:a16="http://schemas.microsoft.com/office/drawing/2014/main" id="{50919703-D631-4797-9A33-92730E7B5B87}"/>
              </a:ext>
            </a:extLst>
          </cdr:cNvPr>
          <cdr:cNvCxnSpPr/>
        </cdr:nvCxnSpPr>
        <cdr:spPr>
          <a:xfrm xmlns:a="http://schemas.openxmlformats.org/drawingml/2006/main" flipH="1" flipV="1">
            <a:off x="18" y="1138214"/>
            <a:ext cx="2" cy="13317051"/>
          </a:xfrm>
          <a:prstGeom xmlns:a="http://schemas.openxmlformats.org/drawingml/2006/main" prst="line">
            <a:avLst/>
          </a:prstGeom>
          <a:ln xmlns:a="http://schemas.openxmlformats.org/drawingml/2006/main" w="25400">
            <a:solidFill>
              <a:srgbClr val="FF0000"/>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4" name="TextBox 20">
            <a:extLst xmlns:a="http://schemas.openxmlformats.org/drawingml/2006/main">
              <a:ext uri="{FF2B5EF4-FFF2-40B4-BE49-F238E27FC236}">
                <a16:creationId xmlns:a16="http://schemas.microsoft.com/office/drawing/2014/main" id="{37BA3899-C0EF-42C2-8DBA-D4DB74BA160F}"/>
              </a:ext>
            </a:extLst>
          </cdr:cNvPr>
          <cdr:cNvSpPr txBox="1"/>
        </cdr:nvSpPr>
        <cdr:spPr>
          <a:xfrm xmlns:a="http://schemas.openxmlformats.org/drawingml/2006/main">
            <a:off x="0" y="0"/>
            <a:ext cx="32" cy="1470062"/>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b="1">
                <a:solidFill>
                  <a:srgbClr val="FF0000"/>
                </a:solidFill>
              </a:rPr>
              <a:t>Now</a:t>
            </a:r>
          </a:p>
        </cdr:txBody>
      </cdr:sp>
    </cdr:grpSp>
  </cdr:relSizeAnchor>
</c:userShapes>
</file>

<file path=xl/drawings/drawing12.xml><?xml version="1.0" encoding="utf-8"?>
<xdr:wsDr xmlns:xdr="http://schemas.openxmlformats.org/drawingml/2006/spreadsheetDrawing" xmlns:a="http://schemas.openxmlformats.org/drawingml/2006/main">
  <xdr:twoCellAnchor>
    <xdr:from>
      <xdr:col>0</xdr:col>
      <xdr:colOff>51209</xdr:colOff>
      <xdr:row>51</xdr:row>
      <xdr:rowOff>184353</xdr:rowOff>
    </xdr:from>
    <xdr:to>
      <xdr:col>9</xdr:col>
      <xdr:colOff>501855</xdr:colOff>
      <xdr:row>67</xdr:row>
      <xdr:rowOff>153628</xdr:rowOff>
    </xdr:to>
    <xdr:graphicFrame macro="">
      <xdr:nvGraphicFramePr>
        <xdr:cNvPr id="9" name="Chart 1">
          <a:extLst>
            <a:ext uri="{FF2B5EF4-FFF2-40B4-BE49-F238E27FC236}">
              <a16:creationId xmlns:a16="http://schemas.microsoft.com/office/drawing/2014/main" id="{00000000-0008-0000-09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40968</xdr:colOff>
      <xdr:row>76</xdr:row>
      <xdr:rowOff>20484</xdr:rowOff>
    </xdr:from>
    <xdr:to>
      <xdr:col>9</xdr:col>
      <xdr:colOff>512098</xdr:colOff>
      <xdr:row>91</xdr:row>
      <xdr:rowOff>81935</xdr:rowOff>
    </xdr:to>
    <xdr:graphicFrame macro="">
      <xdr:nvGraphicFramePr>
        <xdr:cNvPr id="10" name="Chart 9">
          <a:extLst>
            <a:ext uri="{FF2B5EF4-FFF2-40B4-BE49-F238E27FC236}">
              <a16:creationId xmlns:a16="http://schemas.microsoft.com/office/drawing/2014/main" id="{00000000-0008-0000-09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61452</xdr:colOff>
      <xdr:row>152</xdr:row>
      <xdr:rowOff>20482</xdr:rowOff>
    </xdr:from>
    <xdr:to>
      <xdr:col>9</xdr:col>
      <xdr:colOff>491613</xdr:colOff>
      <xdr:row>166</xdr:row>
      <xdr:rowOff>163871</xdr:rowOff>
    </xdr:to>
    <xdr:graphicFrame macro="">
      <xdr:nvGraphicFramePr>
        <xdr:cNvPr id="14" name="Chart 13">
          <a:extLst>
            <a:ext uri="{FF2B5EF4-FFF2-40B4-BE49-F238E27FC236}">
              <a16:creationId xmlns:a16="http://schemas.microsoft.com/office/drawing/2014/main" id="{00000000-0008-0000-09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51209</xdr:colOff>
      <xdr:row>176</xdr:row>
      <xdr:rowOff>71693</xdr:rowOff>
    </xdr:from>
    <xdr:to>
      <xdr:col>9</xdr:col>
      <xdr:colOff>501855</xdr:colOff>
      <xdr:row>192</xdr:row>
      <xdr:rowOff>133145</xdr:rowOff>
    </xdr:to>
    <xdr:graphicFrame macro="">
      <xdr:nvGraphicFramePr>
        <xdr:cNvPr id="15" name="Chart 14">
          <a:extLst>
            <a:ext uri="{FF2B5EF4-FFF2-40B4-BE49-F238E27FC236}">
              <a16:creationId xmlns:a16="http://schemas.microsoft.com/office/drawing/2014/main" id="{00000000-0008-0000-09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40967</xdr:colOff>
      <xdr:row>200</xdr:row>
      <xdr:rowOff>143387</xdr:rowOff>
    </xdr:from>
    <xdr:to>
      <xdr:col>9</xdr:col>
      <xdr:colOff>522339</xdr:colOff>
      <xdr:row>216</xdr:row>
      <xdr:rowOff>184353</xdr:rowOff>
    </xdr:to>
    <xdr:graphicFrame macro="">
      <xdr:nvGraphicFramePr>
        <xdr:cNvPr id="16" name="Chart 15">
          <a:extLst>
            <a:ext uri="{FF2B5EF4-FFF2-40B4-BE49-F238E27FC236}">
              <a16:creationId xmlns:a16="http://schemas.microsoft.com/office/drawing/2014/main" id="{00000000-0008-0000-09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10241</xdr:colOff>
      <xdr:row>104</xdr:row>
      <xdr:rowOff>10242</xdr:rowOff>
    </xdr:from>
    <xdr:to>
      <xdr:col>9</xdr:col>
      <xdr:colOff>460886</xdr:colOff>
      <xdr:row>121</xdr:row>
      <xdr:rowOff>0</xdr:rowOff>
    </xdr:to>
    <xdr:graphicFrame macro="">
      <xdr:nvGraphicFramePr>
        <xdr:cNvPr id="13" name="Chart 9">
          <a:extLst>
            <a:ext uri="{FF2B5EF4-FFF2-40B4-BE49-F238E27FC236}">
              <a16:creationId xmlns:a16="http://schemas.microsoft.com/office/drawing/2014/main" id="{00000000-0008-0000-09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10243</xdr:colOff>
      <xdr:row>107</xdr:row>
      <xdr:rowOff>30726</xdr:rowOff>
    </xdr:from>
    <xdr:to>
      <xdr:col>2</xdr:col>
      <xdr:colOff>256466</xdr:colOff>
      <xdr:row>119</xdr:row>
      <xdr:rowOff>61454</xdr:rowOff>
    </xdr:to>
    <xdr:grpSp>
      <xdr:nvGrpSpPr>
        <xdr:cNvPr id="17" name="Group 16">
          <a:extLst>
            <a:ext uri="{FF2B5EF4-FFF2-40B4-BE49-F238E27FC236}">
              <a16:creationId xmlns:a16="http://schemas.microsoft.com/office/drawing/2014/main" id="{00000000-0008-0000-0900-000011000000}"/>
            </a:ext>
          </a:extLst>
        </xdr:cNvPr>
        <xdr:cNvGrpSpPr/>
      </xdr:nvGrpSpPr>
      <xdr:grpSpPr>
        <a:xfrm>
          <a:off x="944308" y="20006597"/>
          <a:ext cx="795190" cy="2193825"/>
          <a:chOff x="0" y="0"/>
          <a:chExt cx="5062" cy="5848039"/>
        </a:xfrm>
      </xdr:grpSpPr>
      <xdr:cxnSp macro="">
        <xdr:nvCxnSpPr>
          <xdr:cNvPr id="18" name="Straight Connector 17">
            <a:extLst>
              <a:ext uri="{FF2B5EF4-FFF2-40B4-BE49-F238E27FC236}">
                <a16:creationId xmlns:a16="http://schemas.microsoft.com/office/drawing/2014/main" id="{00000000-0008-0000-0900-000012000000}"/>
              </a:ext>
            </a:extLst>
          </xdr:cNvPr>
          <xdr:cNvCxnSpPr/>
        </xdr:nvCxnSpPr>
        <xdr:spPr>
          <a:xfrm flipH="1" flipV="1">
            <a:off x="2873" y="460479"/>
            <a:ext cx="339" cy="5387560"/>
          </a:xfrm>
          <a:prstGeom prst="line">
            <a:avLst/>
          </a:prstGeom>
          <a:ln w="25400">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19" name="TextBox 20">
            <a:extLst>
              <a:ext uri="{FF2B5EF4-FFF2-40B4-BE49-F238E27FC236}">
                <a16:creationId xmlns:a16="http://schemas.microsoft.com/office/drawing/2014/main" id="{00000000-0008-0000-0900-000013000000}"/>
              </a:ext>
            </a:extLst>
          </xdr:cNvPr>
          <xdr:cNvSpPr txBox="1"/>
        </xdr:nvSpPr>
        <xdr:spPr>
          <a:xfrm>
            <a:off x="0" y="0"/>
            <a:ext cx="5062" cy="59473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r>
              <a:rPr lang="en-US" sz="1100" b="1">
                <a:solidFill>
                  <a:srgbClr val="FF0000"/>
                </a:solidFill>
              </a:rPr>
              <a:t>Now</a:t>
            </a:r>
          </a:p>
        </xdr:txBody>
      </xdr:sp>
    </xdr:grpSp>
    <xdr:clientData/>
  </xdr:twoCellAnchor>
  <xdr:twoCellAnchor>
    <xdr:from>
      <xdr:col>0</xdr:col>
      <xdr:colOff>40968</xdr:colOff>
      <xdr:row>128</xdr:row>
      <xdr:rowOff>71694</xdr:rowOff>
    </xdr:from>
    <xdr:to>
      <xdr:col>9</xdr:col>
      <xdr:colOff>440403</xdr:colOff>
      <xdr:row>144</xdr:row>
      <xdr:rowOff>163871</xdr:rowOff>
    </xdr:to>
    <xdr:graphicFrame macro="">
      <xdr:nvGraphicFramePr>
        <xdr:cNvPr id="20" name="Chart 8">
          <a:extLst>
            <a:ext uri="{FF2B5EF4-FFF2-40B4-BE49-F238E27FC236}">
              <a16:creationId xmlns:a16="http://schemas.microsoft.com/office/drawing/2014/main" id="{00000000-0008-0000-09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0.15268</cdr:x>
      <cdr:y>0.07668</cdr:y>
    </cdr:from>
    <cdr:to>
      <cdr:x>0.28597</cdr:x>
      <cdr:y>0.91054</cdr:y>
    </cdr:to>
    <cdr:grpSp>
      <cdr:nvGrpSpPr>
        <cdr:cNvPr id="2" name="Group 1">
          <a:extLst xmlns:a="http://schemas.openxmlformats.org/drawingml/2006/main">
            <a:ext uri="{FF2B5EF4-FFF2-40B4-BE49-F238E27FC236}">
              <a16:creationId xmlns:a16="http://schemas.microsoft.com/office/drawing/2014/main" id="{437BC0FC-3B9E-4DDE-A749-5DEC2B5CA0FE}"/>
            </a:ext>
          </a:extLst>
        </cdr:cNvPr>
        <cdr:cNvGrpSpPr/>
      </cdr:nvGrpSpPr>
      <cdr:grpSpPr>
        <a:xfrm xmlns:a="http://schemas.openxmlformats.org/drawingml/2006/main">
          <a:off x="885037" y="233164"/>
          <a:ext cx="772640" cy="2535548"/>
          <a:chOff x="0" y="0"/>
          <a:chExt cx="32" cy="14455269"/>
        </a:xfrm>
      </cdr:grpSpPr>
      <cdr:cxnSp macro="">
        <cdr:nvCxnSpPr>
          <cdr:cNvPr id="3" name="Straight Connector 2">
            <a:extLst xmlns:a="http://schemas.openxmlformats.org/drawingml/2006/main">
              <a:ext uri="{FF2B5EF4-FFF2-40B4-BE49-F238E27FC236}">
                <a16:creationId xmlns:a16="http://schemas.microsoft.com/office/drawing/2014/main" id="{50919703-D631-4797-9A33-92730E7B5B87}"/>
              </a:ext>
            </a:extLst>
          </cdr:cNvPr>
          <cdr:cNvCxnSpPr/>
        </cdr:nvCxnSpPr>
        <cdr:spPr>
          <a:xfrm xmlns:a="http://schemas.openxmlformats.org/drawingml/2006/main" flipH="1" flipV="1">
            <a:off x="18" y="1138219"/>
            <a:ext cx="2" cy="13317050"/>
          </a:xfrm>
          <a:prstGeom xmlns:a="http://schemas.openxmlformats.org/drawingml/2006/main" prst="line">
            <a:avLst/>
          </a:prstGeom>
          <a:ln xmlns:a="http://schemas.openxmlformats.org/drawingml/2006/main" w="25400">
            <a:solidFill>
              <a:srgbClr val="FF0000"/>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4" name="TextBox 20">
            <a:extLst xmlns:a="http://schemas.openxmlformats.org/drawingml/2006/main">
              <a:ext uri="{FF2B5EF4-FFF2-40B4-BE49-F238E27FC236}">
                <a16:creationId xmlns:a16="http://schemas.microsoft.com/office/drawing/2014/main" id="{37BA3899-C0EF-42C2-8DBA-D4DB74BA160F}"/>
              </a:ext>
            </a:extLst>
          </cdr:cNvPr>
          <cdr:cNvSpPr txBox="1"/>
        </cdr:nvSpPr>
        <cdr:spPr>
          <a:xfrm xmlns:a="http://schemas.openxmlformats.org/drawingml/2006/main">
            <a:off x="0" y="0"/>
            <a:ext cx="32" cy="1470062"/>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b="1">
                <a:solidFill>
                  <a:srgbClr val="FF0000"/>
                </a:solidFill>
              </a:rPr>
              <a:t>Now</a:t>
            </a:r>
          </a:p>
        </cdr:txBody>
      </cdr:sp>
    </cdr:grpSp>
  </cdr:relSizeAnchor>
</c:userShapes>
</file>

<file path=xl/drawings/drawing14.xml><?xml version="1.0" encoding="utf-8"?>
<xdr:wsDr xmlns:xdr="http://schemas.openxmlformats.org/drawingml/2006/spreadsheetDrawing" xmlns:a="http://schemas.openxmlformats.org/drawingml/2006/main">
  <xdr:twoCellAnchor>
    <xdr:from>
      <xdr:col>0</xdr:col>
      <xdr:colOff>30079</xdr:colOff>
      <xdr:row>52</xdr:row>
      <xdr:rowOff>50130</xdr:rowOff>
    </xdr:from>
    <xdr:to>
      <xdr:col>9</xdr:col>
      <xdr:colOff>501315</xdr:colOff>
      <xdr:row>67</xdr:row>
      <xdr:rowOff>60157</xdr:rowOff>
    </xdr:to>
    <xdr:graphicFrame macro="">
      <xdr:nvGraphicFramePr>
        <xdr:cNvPr id="9" name="Chart 1">
          <a:extLst>
            <a:ext uri="{FF2B5EF4-FFF2-40B4-BE49-F238E27FC236}">
              <a16:creationId xmlns:a16="http://schemas.microsoft.com/office/drawing/2014/main" id="{00000000-0008-0000-0B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40105</xdr:colOff>
      <xdr:row>76</xdr:row>
      <xdr:rowOff>10025</xdr:rowOff>
    </xdr:from>
    <xdr:to>
      <xdr:col>9</xdr:col>
      <xdr:colOff>461210</xdr:colOff>
      <xdr:row>91</xdr:row>
      <xdr:rowOff>130342</xdr:rowOff>
    </xdr:to>
    <xdr:graphicFrame macro="">
      <xdr:nvGraphicFramePr>
        <xdr:cNvPr id="10" name="Chart 9">
          <a:extLst>
            <a:ext uri="{FF2B5EF4-FFF2-40B4-BE49-F238E27FC236}">
              <a16:creationId xmlns:a16="http://schemas.microsoft.com/office/drawing/2014/main" id="{00000000-0008-0000-0B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60158</xdr:colOff>
      <xdr:row>152</xdr:row>
      <xdr:rowOff>30078</xdr:rowOff>
    </xdr:from>
    <xdr:to>
      <xdr:col>9</xdr:col>
      <xdr:colOff>501315</xdr:colOff>
      <xdr:row>166</xdr:row>
      <xdr:rowOff>120315</xdr:rowOff>
    </xdr:to>
    <xdr:graphicFrame macro="">
      <xdr:nvGraphicFramePr>
        <xdr:cNvPr id="14" name="Chart 13">
          <a:extLst>
            <a:ext uri="{FF2B5EF4-FFF2-40B4-BE49-F238E27FC236}">
              <a16:creationId xmlns:a16="http://schemas.microsoft.com/office/drawing/2014/main" id="{00000000-0008-0000-0B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10026</xdr:colOff>
      <xdr:row>176</xdr:row>
      <xdr:rowOff>80210</xdr:rowOff>
    </xdr:from>
    <xdr:to>
      <xdr:col>9</xdr:col>
      <xdr:colOff>471236</xdr:colOff>
      <xdr:row>192</xdr:row>
      <xdr:rowOff>120316</xdr:rowOff>
    </xdr:to>
    <xdr:graphicFrame macro="">
      <xdr:nvGraphicFramePr>
        <xdr:cNvPr id="16" name="Chart 15">
          <a:extLst>
            <a:ext uri="{FF2B5EF4-FFF2-40B4-BE49-F238E27FC236}">
              <a16:creationId xmlns:a16="http://schemas.microsoft.com/office/drawing/2014/main" id="{00000000-0008-0000-0B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40106</xdr:colOff>
      <xdr:row>201</xdr:row>
      <xdr:rowOff>100263</xdr:rowOff>
    </xdr:from>
    <xdr:to>
      <xdr:col>9</xdr:col>
      <xdr:colOff>501315</xdr:colOff>
      <xdr:row>217</xdr:row>
      <xdr:rowOff>90237</xdr:rowOff>
    </xdr:to>
    <xdr:graphicFrame macro="">
      <xdr:nvGraphicFramePr>
        <xdr:cNvPr id="17" name="Chart 16">
          <a:extLst>
            <a:ext uri="{FF2B5EF4-FFF2-40B4-BE49-F238E27FC236}">
              <a16:creationId xmlns:a16="http://schemas.microsoft.com/office/drawing/2014/main" id="{00000000-0008-0000-0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30080</xdr:colOff>
      <xdr:row>104</xdr:row>
      <xdr:rowOff>40105</xdr:rowOff>
    </xdr:from>
    <xdr:to>
      <xdr:col>9</xdr:col>
      <xdr:colOff>431132</xdr:colOff>
      <xdr:row>120</xdr:row>
      <xdr:rowOff>170446</xdr:rowOff>
    </xdr:to>
    <xdr:graphicFrame macro="">
      <xdr:nvGraphicFramePr>
        <xdr:cNvPr id="15" name="Chart 9">
          <a:extLst>
            <a:ext uri="{FF2B5EF4-FFF2-40B4-BE49-F238E27FC236}">
              <a16:creationId xmlns:a16="http://schemas.microsoft.com/office/drawing/2014/main" id="{00000000-0008-0000-0B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40106</xdr:colOff>
      <xdr:row>128</xdr:row>
      <xdr:rowOff>50131</xdr:rowOff>
    </xdr:from>
    <xdr:to>
      <xdr:col>9</xdr:col>
      <xdr:colOff>411079</xdr:colOff>
      <xdr:row>144</xdr:row>
      <xdr:rowOff>150395</xdr:rowOff>
    </xdr:to>
    <xdr:graphicFrame macro="">
      <xdr:nvGraphicFramePr>
        <xdr:cNvPr id="18" name="Chart 8">
          <a:extLst>
            <a:ext uri="{FF2B5EF4-FFF2-40B4-BE49-F238E27FC236}">
              <a16:creationId xmlns:a16="http://schemas.microsoft.com/office/drawing/2014/main" id="{00000000-0008-0000-0B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5.xml><?xml version="1.0" encoding="utf-8"?>
<c:userShapes xmlns:c="http://schemas.openxmlformats.org/drawingml/2006/chart">
  <cdr:relSizeAnchor xmlns:cdr="http://schemas.openxmlformats.org/drawingml/2006/chartDrawing">
    <cdr:from>
      <cdr:x>0.17037</cdr:x>
      <cdr:y>0.18612</cdr:y>
    </cdr:from>
    <cdr:to>
      <cdr:x>0.29211</cdr:x>
      <cdr:y>0.90388</cdr:y>
    </cdr:to>
    <cdr:grpSp>
      <cdr:nvGrpSpPr>
        <cdr:cNvPr id="2" name="Group 1">
          <a:extLst xmlns:a="http://schemas.openxmlformats.org/drawingml/2006/main">
            <a:ext uri="{FF2B5EF4-FFF2-40B4-BE49-F238E27FC236}">
              <a16:creationId xmlns:a16="http://schemas.microsoft.com/office/drawing/2014/main" id="{CB16F861-F4B2-4960-94B0-9EE664030156}"/>
            </a:ext>
          </a:extLst>
        </cdr:cNvPr>
        <cdr:cNvGrpSpPr/>
      </cdr:nvGrpSpPr>
      <cdr:grpSpPr>
        <a:xfrm xmlns:a="http://schemas.openxmlformats.org/drawingml/2006/main">
          <a:off x="958776" y="572690"/>
          <a:ext cx="685105" cy="2208544"/>
          <a:chOff x="0" y="0"/>
          <a:chExt cx="458523" cy="2551623"/>
        </a:xfrm>
      </cdr:grpSpPr>
      <cdr:cxnSp macro="">
        <cdr:nvCxnSpPr>
          <cdr:cNvPr id="3" name="Straight Connector 2">
            <a:extLst xmlns:a="http://schemas.openxmlformats.org/drawingml/2006/main">
              <a:ext uri="{FF2B5EF4-FFF2-40B4-BE49-F238E27FC236}">
                <a16:creationId xmlns:a16="http://schemas.microsoft.com/office/drawing/2014/main" id="{3DE87558-4F14-46F5-B409-8F35BEA32FAF}"/>
              </a:ext>
            </a:extLst>
          </cdr:cNvPr>
          <cdr:cNvCxnSpPr/>
        </cdr:nvCxnSpPr>
        <cdr:spPr>
          <a:xfrm xmlns:a="http://schemas.openxmlformats.org/drawingml/2006/main" flipH="1" flipV="1">
            <a:off x="260219" y="200916"/>
            <a:ext cx="30726" cy="2350707"/>
          </a:xfrm>
          <a:prstGeom xmlns:a="http://schemas.openxmlformats.org/drawingml/2006/main" prst="line">
            <a:avLst/>
          </a:prstGeom>
          <a:ln xmlns:a="http://schemas.openxmlformats.org/drawingml/2006/main" w="25400">
            <a:solidFill>
              <a:srgbClr val="FF0000"/>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4" name="TextBox 20">
            <a:extLst xmlns:a="http://schemas.openxmlformats.org/drawingml/2006/main">
              <a:ext uri="{FF2B5EF4-FFF2-40B4-BE49-F238E27FC236}">
                <a16:creationId xmlns:a16="http://schemas.microsoft.com/office/drawing/2014/main" id="{7CB9A204-7787-4C09-A38B-6E43B7A69E75}"/>
              </a:ext>
            </a:extLst>
          </cdr:cNvPr>
          <cdr:cNvSpPr txBox="1"/>
        </cdr:nvSpPr>
        <cdr:spPr>
          <a:xfrm xmlns:a="http://schemas.openxmlformats.org/drawingml/2006/main">
            <a:off x="0" y="0"/>
            <a:ext cx="458523" cy="25949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b="1">
                <a:solidFill>
                  <a:srgbClr val="FF0000"/>
                </a:solidFill>
              </a:rPr>
              <a:t>Now</a:t>
            </a:r>
          </a:p>
        </cdr:txBody>
      </cdr:sp>
    </cdr:grpSp>
  </cdr:relSizeAnchor>
</c:userShapes>
</file>

<file path=xl/drawings/drawing16.xml><?xml version="1.0" encoding="utf-8"?>
<c:userShapes xmlns:c="http://schemas.openxmlformats.org/drawingml/2006/chart">
  <cdr:relSizeAnchor xmlns:cdr="http://schemas.openxmlformats.org/drawingml/2006/chartDrawing">
    <cdr:from>
      <cdr:x>0.16949</cdr:x>
      <cdr:y>0.09575</cdr:y>
    </cdr:from>
    <cdr:to>
      <cdr:x>0.2973</cdr:x>
      <cdr:y>0.90624</cdr:y>
    </cdr:to>
    <cdr:grpSp>
      <cdr:nvGrpSpPr>
        <cdr:cNvPr id="2" name="Group 1">
          <a:extLst xmlns:a="http://schemas.openxmlformats.org/drawingml/2006/main">
            <a:ext uri="{FF2B5EF4-FFF2-40B4-BE49-F238E27FC236}">
              <a16:creationId xmlns:a16="http://schemas.microsoft.com/office/drawing/2014/main" id="{CB16F861-F4B2-4960-94B0-9EE664030156}"/>
            </a:ext>
          </a:extLst>
        </cdr:cNvPr>
        <cdr:cNvGrpSpPr/>
      </cdr:nvGrpSpPr>
      <cdr:grpSpPr>
        <a:xfrm xmlns:a="http://schemas.openxmlformats.org/drawingml/2006/main">
          <a:off x="948403" y="291852"/>
          <a:ext cx="715177" cy="2470423"/>
          <a:chOff x="0" y="0"/>
          <a:chExt cx="308676" cy="2854008"/>
        </a:xfrm>
      </cdr:grpSpPr>
      <cdr:cxnSp macro="">
        <cdr:nvCxnSpPr>
          <cdr:cNvPr id="3" name="Straight Connector 2">
            <a:extLst xmlns:a="http://schemas.openxmlformats.org/drawingml/2006/main">
              <a:ext uri="{FF2B5EF4-FFF2-40B4-BE49-F238E27FC236}">
                <a16:creationId xmlns:a16="http://schemas.microsoft.com/office/drawing/2014/main" id="{3DE87558-4F14-46F5-B409-8F35BEA32FAF}"/>
              </a:ext>
            </a:extLst>
          </cdr:cNvPr>
          <cdr:cNvCxnSpPr/>
        </cdr:nvCxnSpPr>
        <cdr:spPr>
          <a:xfrm xmlns:a="http://schemas.openxmlformats.org/drawingml/2006/main" flipH="1" flipV="1">
            <a:off x="175178" y="224726"/>
            <a:ext cx="20685" cy="2629282"/>
          </a:xfrm>
          <a:prstGeom xmlns:a="http://schemas.openxmlformats.org/drawingml/2006/main" prst="line">
            <a:avLst/>
          </a:prstGeom>
          <a:ln xmlns:a="http://schemas.openxmlformats.org/drawingml/2006/main" w="25400">
            <a:solidFill>
              <a:srgbClr val="FF0000"/>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4" name="TextBox 20">
            <a:extLst xmlns:a="http://schemas.openxmlformats.org/drawingml/2006/main">
              <a:ext uri="{FF2B5EF4-FFF2-40B4-BE49-F238E27FC236}">
                <a16:creationId xmlns:a16="http://schemas.microsoft.com/office/drawing/2014/main" id="{7CB9A204-7787-4C09-A38B-6E43B7A69E75}"/>
              </a:ext>
            </a:extLst>
          </cdr:cNvPr>
          <cdr:cNvSpPr txBox="1"/>
        </cdr:nvSpPr>
        <cdr:spPr>
          <a:xfrm xmlns:a="http://schemas.openxmlformats.org/drawingml/2006/main">
            <a:off x="0" y="0"/>
            <a:ext cx="308676" cy="29024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b="1">
                <a:solidFill>
                  <a:srgbClr val="FF0000"/>
                </a:solidFill>
              </a:rPr>
              <a:t>Now</a:t>
            </a:r>
          </a:p>
        </cdr:txBody>
      </cdr:sp>
    </cdr:grpSp>
  </cdr:relSizeAnchor>
</c:userShapes>
</file>

<file path=xl/drawings/drawing17.xml><?xml version="1.0" encoding="utf-8"?>
<xdr:wsDr xmlns:xdr="http://schemas.openxmlformats.org/drawingml/2006/spreadsheetDrawing" xmlns:a="http://schemas.openxmlformats.org/drawingml/2006/main">
  <xdr:twoCellAnchor>
    <xdr:from>
      <xdr:col>1</xdr:col>
      <xdr:colOff>0</xdr:colOff>
      <xdr:row>47</xdr:row>
      <xdr:rowOff>0</xdr:rowOff>
    </xdr:from>
    <xdr:to>
      <xdr:col>18</xdr:col>
      <xdr:colOff>159525</xdr:colOff>
      <xdr:row>62</xdr:row>
      <xdr:rowOff>48031</xdr:rowOff>
    </xdr:to>
    <xdr:graphicFrame macro="">
      <xdr:nvGraphicFramePr>
        <xdr:cNvPr id="7" name="Chart 1">
          <a:extLst>
            <a:ext uri="{FF2B5EF4-FFF2-40B4-BE49-F238E27FC236}">
              <a16:creationId xmlns:a16="http://schemas.microsoft.com/office/drawing/2014/main" id="{00000000-0008-0000-0E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R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RG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P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UL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ASUALTY.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NGINEERI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ff"/>
      <sheetName val="Old"/>
      <sheetName val="Fire"/>
      <sheetName val="Information"/>
      <sheetName val="Sheet1"/>
      <sheetName val="2000"/>
      <sheetName val="2001"/>
      <sheetName val="2002"/>
      <sheetName val="2003"/>
      <sheetName val="2004"/>
      <sheetName val="2005"/>
      <sheetName val="2006"/>
      <sheetName val="2007"/>
      <sheetName val="2008"/>
      <sheetName val="2009"/>
      <sheetName val="2010"/>
      <sheetName val="2011"/>
      <sheetName val="2012"/>
      <sheetName val="2013"/>
      <sheetName val="2014"/>
      <sheetName val="2015"/>
      <sheetName val="2016"/>
      <sheetName val="2017"/>
    </sheetNames>
    <sheetDataSet>
      <sheetData sheetId="0"/>
      <sheetData sheetId="1"/>
      <sheetData sheetId="2"/>
      <sheetData sheetId="3">
        <row r="2">
          <cell r="V2" t="str">
            <v>Settled</v>
          </cell>
          <cell r="W2" t="str">
            <v>Outstanding</v>
          </cell>
        </row>
        <row r="3">
          <cell r="G3" t="str">
            <v>0 Day - 7 Days</v>
          </cell>
          <cell r="H3" t="str">
            <v>7 Days - 14 Days</v>
          </cell>
          <cell r="I3" t="str">
            <v>14 Days - 30 Days</v>
          </cell>
          <cell r="J3" t="str">
            <v>&gt;30 Days</v>
          </cell>
          <cell r="FO3">
            <v>2016</v>
          </cell>
          <cell r="FP3">
            <v>2017</v>
          </cell>
        </row>
        <row r="4">
          <cell r="FO4">
            <v>10</v>
          </cell>
          <cell r="FP4">
            <v>4</v>
          </cell>
          <cell r="FS4">
            <v>10</v>
          </cell>
          <cell r="FT4">
            <v>4</v>
          </cell>
        </row>
        <row r="5">
          <cell r="G5">
            <v>65</v>
          </cell>
          <cell r="H5">
            <v>33</v>
          </cell>
          <cell r="I5">
            <v>2</v>
          </cell>
          <cell r="J5">
            <v>2</v>
          </cell>
          <cell r="FO5">
            <v>13</v>
          </cell>
          <cell r="FP5">
            <v>7</v>
          </cell>
          <cell r="FS5">
            <v>23</v>
          </cell>
          <cell r="FT5">
            <v>11</v>
          </cell>
        </row>
        <row r="6">
          <cell r="FO6">
            <v>11</v>
          </cell>
          <cell r="FP6">
            <v>10</v>
          </cell>
          <cell r="FS6">
            <v>34</v>
          </cell>
          <cell r="FT6">
            <v>21</v>
          </cell>
        </row>
        <row r="7">
          <cell r="FO7">
            <v>11</v>
          </cell>
          <cell r="FP7">
            <v>11</v>
          </cell>
          <cell r="FS7">
            <v>45</v>
          </cell>
          <cell r="FT7">
            <v>32</v>
          </cell>
        </row>
        <row r="8">
          <cell r="FO8">
            <v>10</v>
          </cell>
          <cell r="FP8">
            <v>3</v>
          </cell>
          <cell r="FS8">
            <v>55</v>
          </cell>
          <cell r="FT8">
            <v>35</v>
          </cell>
        </row>
        <row r="9">
          <cell r="V9">
            <v>135</v>
          </cell>
          <cell r="W9">
            <v>1</v>
          </cell>
          <cell r="X9">
            <v>2010</v>
          </cell>
          <cell r="Y9">
            <v>43</v>
          </cell>
          <cell r="Z9">
            <v>46</v>
          </cell>
          <cell r="AA9">
            <v>26</v>
          </cell>
          <cell r="AB9">
            <v>21</v>
          </cell>
          <cell r="FO9">
            <v>16</v>
          </cell>
          <cell r="FP9">
            <v>3</v>
          </cell>
          <cell r="FS9">
            <v>71</v>
          </cell>
          <cell r="FT9">
            <v>38</v>
          </cell>
        </row>
        <row r="10">
          <cell r="V10">
            <v>80</v>
          </cell>
          <cell r="W10">
            <v>0</v>
          </cell>
          <cell r="X10">
            <v>2011</v>
          </cell>
          <cell r="Y10">
            <v>35</v>
          </cell>
          <cell r="Z10">
            <v>24</v>
          </cell>
          <cell r="AA10">
            <v>14</v>
          </cell>
          <cell r="AB10">
            <v>7</v>
          </cell>
          <cell r="FO10">
            <v>9</v>
          </cell>
          <cell r="FP10">
            <v>9</v>
          </cell>
          <cell r="FS10">
            <v>80</v>
          </cell>
          <cell r="FT10">
            <v>47</v>
          </cell>
        </row>
        <row r="11">
          <cell r="V11">
            <v>101</v>
          </cell>
          <cell r="W11">
            <v>6</v>
          </cell>
          <cell r="X11">
            <v>2012</v>
          </cell>
          <cell r="Y11">
            <v>37</v>
          </cell>
          <cell r="Z11">
            <v>23</v>
          </cell>
          <cell r="AA11">
            <v>29</v>
          </cell>
          <cell r="AB11">
            <v>18</v>
          </cell>
          <cell r="FO11">
            <v>6</v>
          </cell>
          <cell r="FP11">
            <v>4</v>
          </cell>
          <cell r="FS11">
            <v>86</v>
          </cell>
          <cell r="FT11">
            <v>51</v>
          </cell>
        </row>
        <row r="12">
          <cell r="V12">
            <v>115</v>
          </cell>
          <cell r="W12">
            <v>3</v>
          </cell>
          <cell r="X12">
            <v>2013</v>
          </cell>
          <cell r="Y12">
            <v>38</v>
          </cell>
          <cell r="Z12">
            <v>36</v>
          </cell>
          <cell r="AA12">
            <v>29</v>
          </cell>
          <cell r="AB12">
            <v>15</v>
          </cell>
          <cell r="FO12">
            <v>9</v>
          </cell>
          <cell r="FP12">
            <v>2</v>
          </cell>
          <cell r="FS12">
            <v>95</v>
          </cell>
          <cell r="FT12">
            <v>53</v>
          </cell>
        </row>
        <row r="13">
          <cell r="V13">
            <v>105</v>
          </cell>
          <cell r="W13">
            <v>2</v>
          </cell>
          <cell r="X13">
            <v>2014</v>
          </cell>
          <cell r="Y13">
            <v>23</v>
          </cell>
          <cell r="Z13">
            <v>35</v>
          </cell>
          <cell r="AA13">
            <v>21</v>
          </cell>
          <cell r="AB13">
            <v>28</v>
          </cell>
          <cell r="FO13">
            <v>15</v>
          </cell>
          <cell r="FP13">
            <v>9</v>
          </cell>
          <cell r="FS13">
            <v>110</v>
          </cell>
          <cell r="FT13">
            <v>62</v>
          </cell>
        </row>
        <row r="14">
          <cell r="V14">
            <v>99</v>
          </cell>
          <cell r="W14">
            <v>1</v>
          </cell>
          <cell r="X14">
            <v>2015</v>
          </cell>
          <cell r="Y14">
            <v>18</v>
          </cell>
          <cell r="Z14">
            <v>24</v>
          </cell>
          <cell r="AA14">
            <v>49</v>
          </cell>
          <cell r="AB14">
            <v>9</v>
          </cell>
          <cell r="FO14">
            <v>26</v>
          </cell>
          <cell r="FP14">
            <v>10</v>
          </cell>
          <cell r="FS14">
            <v>136</v>
          </cell>
          <cell r="FT14">
            <v>72</v>
          </cell>
        </row>
        <row r="15">
          <cell r="V15">
            <v>151</v>
          </cell>
          <cell r="W15">
            <v>17</v>
          </cell>
          <cell r="X15">
            <v>2016</v>
          </cell>
          <cell r="Y15">
            <v>29</v>
          </cell>
          <cell r="Z15">
            <v>23</v>
          </cell>
          <cell r="AA15">
            <v>98</v>
          </cell>
          <cell r="AB15">
            <v>18</v>
          </cell>
          <cell r="FO15">
            <v>24</v>
          </cell>
          <cell r="FP15">
            <v>4</v>
          </cell>
          <cell r="FS15">
            <v>160</v>
          </cell>
          <cell r="FT15">
            <v>76</v>
          </cell>
        </row>
        <row r="16">
          <cell r="V16">
            <v>102</v>
          </cell>
          <cell r="W16">
            <v>32</v>
          </cell>
          <cell r="X16">
            <v>2017</v>
          </cell>
          <cell r="Y16">
            <v>22</v>
          </cell>
          <cell r="Z16">
            <v>19</v>
          </cell>
          <cell r="AA16">
            <v>78</v>
          </cell>
          <cell r="AB16">
            <v>15</v>
          </cell>
        </row>
        <row r="17">
          <cell r="V17">
            <v>4</v>
          </cell>
          <cell r="W17">
            <v>31</v>
          </cell>
          <cell r="X17">
            <v>2018</v>
          </cell>
          <cell r="Y17">
            <v>4</v>
          </cell>
          <cell r="Z17">
            <v>13</v>
          </cell>
          <cell r="AA17">
            <v>12</v>
          </cell>
          <cell r="AB17">
            <v>6</v>
          </cell>
        </row>
        <row r="18">
          <cell r="G18">
            <v>1</v>
          </cell>
          <cell r="H18">
            <v>0</v>
          </cell>
          <cell r="I18">
            <v>0</v>
          </cell>
          <cell r="J18">
            <v>0</v>
          </cell>
          <cell r="K18">
            <v>2010</v>
          </cell>
          <cell r="M18">
            <v>9.8039215686274508E-3</v>
          </cell>
        </row>
        <row r="19">
          <cell r="G19">
            <v>1</v>
          </cell>
          <cell r="H19">
            <v>0</v>
          </cell>
          <cell r="I19">
            <v>0</v>
          </cell>
          <cell r="J19">
            <v>0</v>
          </cell>
          <cell r="K19">
            <v>2011</v>
          </cell>
          <cell r="M19">
            <v>9.8039215686274508E-3</v>
          </cell>
        </row>
        <row r="20">
          <cell r="G20">
            <v>5</v>
          </cell>
          <cell r="H20">
            <v>0</v>
          </cell>
          <cell r="I20">
            <v>0</v>
          </cell>
          <cell r="J20">
            <v>0</v>
          </cell>
          <cell r="K20">
            <v>2012</v>
          </cell>
          <cell r="M20">
            <v>4.9019607843137254E-2</v>
          </cell>
          <cell r="FQ20">
            <v>2018</v>
          </cell>
          <cell r="FU20" t="str">
            <v>Akumulasi 2018</v>
          </cell>
        </row>
        <row r="21">
          <cell r="G21">
            <v>4</v>
          </cell>
          <cell r="H21">
            <v>0</v>
          </cell>
          <cell r="I21">
            <v>0</v>
          </cell>
          <cell r="J21">
            <v>0</v>
          </cell>
          <cell r="K21">
            <v>2013</v>
          </cell>
          <cell r="M21">
            <v>3.9215686274509803E-2</v>
          </cell>
          <cell r="AF21">
            <v>1</v>
          </cell>
          <cell r="FQ21">
            <v>4</v>
          </cell>
          <cell r="FU21">
            <v>4</v>
          </cell>
        </row>
        <row r="22">
          <cell r="G22">
            <v>1</v>
          </cell>
          <cell r="H22">
            <v>0</v>
          </cell>
          <cell r="I22">
            <v>0</v>
          </cell>
          <cell r="J22">
            <v>0</v>
          </cell>
          <cell r="K22">
            <v>2014</v>
          </cell>
          <cell r="M22">
            <v>9.8039215686274508E-3</v>
          </cell>
          <cell r="AF22">
            <v>2</v>
          </cell>
          <cell r="FQ22">
            <v>10</v>
          </cell>
          <cell r="FU22">
            <v>14</v>
          </cell>
        </row>
        <row r="23">
          <cell r="G23">
            <v>1</v>
          </cell>
          <cell r="H23">
            <v>1</v>
          </cell>
          <cell r="I23">
            <v>0</v>
          </cell>
          <cell r="J23">
            <v>0</v>
          </cell>
          <cell r="K23">
            <v>2015</v>
          </cell>
          <cell r="M23">
            <v>1.9607843137254902E-2</v>
          </cell>
          <cell r="AF23">
            <v>3</v>
          </cell>
          <cell r="FQ23">
            <v>5</v>
          </cell>
          <cell r="FU23">
            <v>19</v>
          </cell>
        </row>
        <row r="24">
          <cell r="G24">
            <v>16</v>
          </cell>
          <cell r="H24">
            <v>3</v>
          </cell>
          <cell r="I24">
            <v>0</v>
          </cell>
          <cell r="J24">
            <v>0</v>
          </cell>
          <cell r="K24">
            <v>2016</v>
          </cell>
          <cell r="M24">
            <v>0.18627450980392157</v>
          </cell>
          <cell r="AF24">
            <v>4</v>
          </cell>
          <cell r="FQ24">
            <v>2</v>
          </cell>
          <cell r="FU24">
            <v>21</v>
          </cell>
        </row>
        <row r="25">
          <cell r="G25">
            <v>17</v>
          </cell>
          <cell r="H25">
            <v>19</v>
          </cell>
          <cell r="I25">
            <v>1</v>
          </cell>
          <cell r="J25">
            <v>0</v>
          </cell>
          <cell r="K25">
            <v>2017</v>
          </cell>
          <cell r="M25">
            <v>0.36274509803921567</v>
          </cell>
          <cell r="AF25">
            <v>5</v>
          </cell>
          <cell r="FQ25">
            <v>4</v>
          </cell>
          <cell r="FU25">
            <v>25</v>
          </cell>
        </row>
        <row r="26">
          <cell r="G26">
            <v>19</v>
          </cell>
          <cell r="H26">
            <v>10</v>
          </cell>
          <cell r="I26">
            <v>1</v>
          </cell>
          <cell r="J26">
            <v>2</v>
          </cell>
          <cell r="K26">
            <v>2018</v>
          </cell>
          <cell r="M26">
            <v>0.31372549019607843</v>
          </cell>
          <cell r="AF26">
            <v>6</v>
          </cell>
          <cell r="FQ26">
            <v>3</v>
          </cell>
          <cell r="FU26">
            <v>28</v>
          </cell>
        </row>
        <row r="27">
          <cell r="AF27">
            <v>7</v>
          </cell>
          <cell r="FQ27">
            <v>1</v>
          </cell>
          <cell r="FU27">
            <v>29</v>
          </cell>
        </row>
        <row r="28">
          <cell r="AF28">
            <v>8</v>
          </cell>
          <cell r="FQ28">
            <v>0</v>
          </cell>
          <cell r="FU28">
            <v>29</v>
          </cell>
        </row>
        <row r="29">
          <cell r="AF29">
            <v>9</v>
          </cell>
          <cell r="FQ29">
            <v>0</v>
          </cell>
          <cell r="FU29">
            <v>29</v>
          </cell>
        </row>
        <row r="30">
          <cell r="AF30">
            <v>10</v>
          </cell>
          <cell r="FQ30">
            <v>0</v>
          </cell>
          <cell r="FU30">
            <v>29</v>
          </cell>
        </row>
        <row r="31">
          <cell r="AF31">
            <v>11</v>
          </cell>
          <cell r="FQ31">
            <v>0</v>
          </cell>
          <cell r="FU31">
            <v>29</v>
          </cell>
        </row>
        <row r="32">
          <cell r="AF32">
            <v>12</v>
          </cell>
          <cell r="FQ32">
            <v>0</v>
          </cell>
          <cell r="FU32">
            <v>29</v>
          </cell>
        </row>
        <row r="36">
          <cell r="FO36">
            <v>2016</v>
          </cell>
          <cell r="FP36">
            <v>2017</v>
          </cell>
          <cell r="FQ36">
            <v>2018</v>
          </cell>
          <cell r="FS36" t="str">
            <v>Akumulasi 2016</v>
          </cell>
          <cell r="FT36" t="str">
            <v>Akumulasi 2017</v>
          </cell>
        </row>
        <row r="37">
          <cell r="FN37">
            <v>1</v>
          </cell>
          <cell r="FS37">
            <v>9</v>
          </cell>
          <cell r="FT37">
            <v>13</v>
          </cell>
          <cell r="FU37">
            <v>6</v>
          </cell>
        </row>
        <row r="38">
          <cell r="FN38">
            <v>2</v>
          </cell>
          <cell r="FS38">
            <v>21</v>
          </cell>
          <cell r="FT38">
            <v>17</v>
          </cell>
          <cell r="FU38">
            <v>9</v>
          </cell>
        </row>
        <row r="39">
          <cell r="FN39">
            <v>3</v>
          </cell>
          <cell r="FS39">
            <v>29</v>
          </cell>
          <cell r="FT39">
            <v>41</v>
          </cell>
          <cell r="FU39">
            <v>12</v>
          </cell>
        </row>
        <row r="40">
          <cell r="FN40">
            <v>4</v>
          </cell>
          <cell r="FS40">
            <v>40</v>
          </cell>
          <cell r="FT40">
            <v>56</v>
          </cell>
          <cell r="FU40">
            <v>17</v>
          </cell>
        </row>
        <row r="41">
          <cell r="FN41">
            <v>5</v>
          </cell>
          <cell r="FS41">
            <v>48</v>
          </cell>
          <cell r="FT41">
            <v>67</v>
          </cell>
          <cell r="FU41">
            <v>27</v>
          </cell>
        </row>
        <row r="42">
          <cell r="FN42">
            <v>6</v>
          </cell>
          <cell r="FS42">
            <v>81</v>
          </cell>
          <cell r="FT42">
            <v>86</v>
          </cell>
          <cell r="FU42">
            <v>30</v>
          </cell>
        </row>
        <row r="43">
          <cell r="FN43">
            <v>7</v>
          </cell>
          <cell r="FS43">
            <v>90</v>
          </cell>
          <cell r="FT43">
            <v>111</v>
          </cell>
          <cell r="FU43">
            <v>38</v>
          </cell>
        </row>
        <row r="44">
          <cell r="FN44">
            <v>8</v>
          </cell>
          <cell r="FS44">
            <v>97</v>
          </cell>
          <cell r="FT44">
            <v>121</v>
          </cell>
          <cell r="FU44">
            <v>38</v>
          </cell>
        </row>
        <row r="45">
          <cell r="FN45">
            <v>9</v>
          </cell>
          <cell r="FS45">
            <v>113</v>
          </cell>
          <cell r="FT45">
            <v>128</v>
          </cell>
          <cell r="FU45">
            <v>38</v>
          </cell>
        </row>
        <row r="46">
          <cell r="FN46">
            <v>10</v>
          </cell>
          <cell r="FS46">
            <v>120</v>
          </cell>
          <cell r="FT46">
            <v>144</v>
          </cell>
          <cell r="FU46">
            <v>38</v>
          </cell>
        </row>
        <row r="47">
          <cell r="FN47">
            <v>11</v>
          </cell>
          <cell r="FS47">
            <v>124</v>
          </cell>
          <cell r="FT47">
            <v>156</v>
          </cell>
          <cell r="FU47">
            <v>38</v>
          </cell>
        </row>
        <row r="48">
          <cell r="FN48">
            <v>12</v>
          </cell>
          <cell r="FS48">
            <v>136</v>
          </cell>
          <cell r="FT48">
            <v>171</v>
          </cell>
          <cell r="FU48">
            <v>38</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0"/>
      <sheetName val="2001"/>
      <sheetName val="2002"/>
      <sheetName val="2003"/>
      <sheetName val="2004"/>
      <sheetName val="2005"/>
      <sheetName val="2006"/>
      <sheetName val="2007"/>
      <sheetName val="2008"/>
      <sheetName val="2009"/>
      <sheetName val="fff"/>
      <sheetName val="Cargo"/>
      <sheetName val="Information"/>
      <sheetName val="Sheet1"/>
      <sheetName val="2010"/>
      <sheetName val="2011"/>
      <sheetName val="2012"/>
      <sheetName val="2013"/>
      <sheetName val="2014"/>
      <sheetName val="2015"/>
      <sheetName val="2016"/>
      <sheetName val="2017"/>
      <sheetName val="daftar kekuran dokumen TRipa"/>
      <sheetName val="daftar kekuran dokumen JASINDO"/>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V2" t="str">
            <v>Settled</v>
          </cell>
          <cell r="W2" t="str">
            <v>Outstanding</v>
          </cell>
        </row>
        <row r="3">
          <cell r="G3" t="str">
            <v>0 Day - 7 Days</v>
          </cell>
          <cell r="H3" t="str">
            <v>7 Days - 14 Days</v>
          </cell>
          <cell r="I3" t="str">
            <v>14 Days - 30 Days</v>
          </cell>
          <cell r="J3" t="str">
            <v>&gt;30 Days</v>
          </cell>
          <cell r="FO3">
            <v>2016</v>
          </cell>
          <cell r="FP3">
            <v>2017</v>
          </cell>
        </row>
        <row r="4">
          <cell r="FO4">
            <v>1</v>
          </cell>
          <cell r="FP4">
            <v>3</v>
          </cell>
          <cell r="FS4">
            <v>1</v>
          </cell>
          <cell r="FT4">
            <v>3</v>
          </cell>
        </row>
        <row r="5">
          <cell r="G5">
            <v>11</v>
          </cell>
          <cell r="H5">
            <v>16</v>
          </cell>
          <cell r="I5">
            <v>1</v>
          </cell>
          <cell r="J5">
            <v>0</v>
          </cell>
          <cell r="FO5">
            <v>2</v>
          </cell>
          <cell r="FP5">
            <v>3</v>
          </cell>
          <cell r="FS5">
            <v>3</v>
          </cell>
          <cell r="FT5">
            <v>6</v>
          </cell>
        </row>
        <row r="6">
          <cell r="FO6">
            <v>4</v>
          </cell>
          <cell r="FP6">
            <v>1</v>
          </cell>
          <cell r="FS6">
            <v>7</v>
          </cell>
          <cell r="FT6">
            <v>7</v>
          </cell>
        </row>
        <row r="7">
          <cell r="FO7">
            <v>0</v>
          </cell>
          <cell r="FP7">
            <v>1</v>
          </cell>
          <cell r="FS7">
            <v>7</v>
          </cell>
          <cell r="FT7">
            <v>8</v>
          </cell>
        </row>
        <row r="8">
          <cell r="FO8">
            <v>1</v>
          </cell>
          <cell r="FP8">
            <v>1</v>
          </cell>
          <cell r="FS8">
            <v>8</v>
          </cell>
          <cell r="FT8">
            <v>9</v>
          </cell>
        </row>
        <row r="9">
          <cell r="V9">
            <v>33</v>
          </cell>
          <cell r="W9">
            <v>0</v>
          </cell>
          <cell r="X9">
            <v>2010</v>
          </cell>
          <cell r="Y9">
            <v>6</v>
          </cell>
          <cell r="Z9">
            <v>8</v>
          </cell>
          <cell r="AA9">
            <v>8</v>
          </cell>
          <cell r="AB9">
            <v>11</v>
          </cell>
          <cell r="FO9">
            <v>2</v>
          </cell>
          <cell r="FP9">
            <v>0</v>
          </cell>
          <cell r="FS9">
            <v>10</v>
          </cell>
          <cell r="FT9">
            <v>9</v>
          </cell>
        </row>
        <row r="10">
          <cell r="V10">
            <v>28</v>
          </cell>
          <cell r="W10">
            <v>5</v>
          </cell>
          <cell r="X10">
            <v>2011</v>
          </cell>
          <cell r="Y10">
            <v>10</v>
          </cell>
          <cell r="Z10">
            <v>9</v>
          </cell>
          <cell r="AA10">
            <v>2</v>
          </cell>
          <cell r="AB10">
            <v>12</v>
          </cell>
          <cell r="FO10">
            <v>1</v>
          </cell>
          <cell r="FP10">
            <v>0</v>
          </cell>
          <cell r="FS10">
            <v>11</v>
          </cell>
          <cell r="FT10">
            <v>9</v>
          </cell>
        </row>
        <row r="11">
          <cell r="V11">
            <v>32</v>
          </cell>
          <cell r="W11">
            <v>4</v>
          </cell>
          <cell r="X11">
            <v>2012</v>
          </cell>
          <cell r="Y11">
            <v>16</v>
          </cell>
          <cell r="Z11">
            <v>11</v>
          </cell>
          <cell r="AA11">
            <v>6</v>
          </cell>
          <cell r="AB11">
            <v>3</v>
          </cell>
          <cell r="FO11">
            <v>3</v>
          </cell>
          <cell r="FP11">
            <v>1</v>
          </cell>
          <cell r="FS11">
            <v>14</v>
          </cell>
          <cell r="FT11">
            <v>10</v>
          </cell>
        </row>
        <row r="12">
          <cell r="V12">
            <v>51</v>
          </cell>
          <cell r="W12">
            <v>1</v>
          </cell>
          <cell r="X12">
            <v>2013</v>
          </cell>
          <cell r="Y12">
            <v>14</v>
          </cell>
          <cell r="Z12">
            <v>29</v>
          </cell>
          <cell r="AA12">
            <v>2</v>
          </cell>
          <cell r="AB12">
            <v>7</v>
          </cell>
          <cell r="FO12">
            <v>5</v>
          </cell>
          <cell r="FP12">
            <v>0</v>
          </cell>
          <cell r="FS12">
            <v>19</v>
          </cell>
          <cell r="FT12">
            <v>10</v>
          </cell>
        </row>
        <row r="13">
          <cell r="V13">
            <v>48</v>
          </cell>
          <cell r="W13">
            <v>0</v>
          </cell>
          <cell r="X13">
            <v>2014</v>
          </cell>
          <cell r="Y13">
            <v>24</v>
          </cell>
          <cell r="Z13">
            <v>23</v>
          </cell>
          <cell r="AA13">
            <v>0</v>
          </cell>
          <cell r="AB13">
            <v>1</v>
          </cell>
          <cell r="FO13">
            <v>8</v>
          </cell>
          <cell r="FP13">
            <v>0</v>
          </cell>
          <cell r="FS13">
            <v>27</v>
          </cell>
          <cell r="FT13">
            <v>10</v>
          </cell>
        </row>
        <row r="14">
          <cell r="V14">
            <v>35</v>
          </cell>
          <cell r="W14">
            <v>0</v>
          </cell>
          <cell r="X14">
            <v>2015</v>
          </cell>
          <cell r="Y14">
            <v>17</v>
          </cell>
          <cell r="Z14">
            <v>14</v>
          </cell>
          <cell r="AA14">
            <v>1</v>
          </cell>
          <cell r="AB14">
            <v>3</v>
          </cell>
          <cell r="FO14">
            <v>2</v>
          </cell>
          <cell r="FP14">
            <v>1</v>
          </cell>
          <cell r="FS14">
            <v>29</v>
          </cell>
          <cell r="FT14">
            <v>11</v>
          </cell>
        </row>
        <row r="15">
          <cell r="V15">
            <v>32</v>
          </cell>
          <cell r="W15">
            <v>5</v>
          </cell>
          <cell r="X15">
            <v>2016</v>
          </cell>
          <cell r="Y15">
            <v>12</v>
          </cell>
          <cell r="Z15">
            <v>11</v>
          </cell>
          <cell r="AA15">
            <v>10</v>
          </cell>
          <cell r="AB15">
            <v>4</v>
          </cell>
          <cell r="FO15">
            <v>3</v>
          </cell>
          <cell r="FP15">
            <v>2</v>
          </cell>
          <cell r="FS15">
            <v>32</v>
          </cell>
          <cell r="FT15">
            <v>13</v>
          </cell>
        </row>
        <row r="16">
          <cell r="V16">
            <v>17</v>
          </cell>
          <cell r="W16">
            <v>3</v>
          </cell>
          <cell r="X16">
            <v>2017</v>
          </cell>
          <cell r="Y16">
            <v>4</v>
          </cell>
          <cell r="Z16">
            <v>10</v>
          </cell>
          <cell r="AA16">
            <v>5</v>
          </cell>
          <cell r="AB16">
            <v>1</v>
          </cell>
        </row>
        <row r="17">
          <cell r="V17">
            <v>2</v>
          </cell>
          <cell r="W17">
            <v>9</v>
          </cell>
          <cell r="X17">
            <v>2018</v>
          </cell>
          <cell r="Y17">
            <v>1</v>
          </cell>
          <cell r="Z17">
            <v>7</v>
          </cell>
          <cell r="AA17">
            <v>2</v>
          </cell>
          <cell r="AB17">
            <v>1</v>
          </cell>
        </row>
        <row r="18">
          <cell r="G18">
            <v>0</v>
          </cell>
          <cell r="H18">
            <v>0</v>
          </cell>
          <cell r="I18">
            <v>0</v>
          </cell>
          <cell r="J18">
            <v>0</v>
          </cell>
          <cell r="K18">
            <v>2010</v>
          </cell>
          <cell r="M18">
            <v>0</v>
          </cell>
        </row>
        <row r="19">
          <cell r="G19">
            <v>1</v>
          </cell>
          <cell r="H19">
            <v>4</v>
          </cell>
          <cell r="I19">
            <v>0</v>
          </cell>
          <cell r="J19">
            <v>0</v>
          </cell>
          <cell r="K19">
            <v>2011</v>
          </cell>
          <cell r="M19">
            <v>0.17857142857142858</v>
          </cell>
        </row>
        <row r="20">
          <cell r="G20">
            <v>1</v>
          </cell>
          <cell r="H20">
            <v>4</v>
          </cell>
          <cell r="I20">
            <v>0</v>
          </cell>
          <cell r="J20">
            <v>0</v>
          </cell>
          <cell r="K20">
            <v>2012</v>
          </cell>
          <cell r="M20">
            <v>0.17857142857142858</v>
          </cell>
          <cell r="FQ20">
            <v>2018</v>
          </cell>
          <cell r="FU20" t="str">
            <v>Akumulasi 2018</v>
          </cell>
        </row>
        <row r="21">
          <cell r="G21">
            <v>0</v>
          </cell>
          <cell r="H21">
            <v>1</v>
          </cell>
          <cell r="I21">
            <v>0</v>
          </cell>
          <cell r="J21">
            <v>0</v>
          </cell>
          <cell r="K21">
            <v>2013</v>
          </cell>
          <cell r="M21">
            <v>3.5714285714285712E-2</v>
          </cell>
          <cell r="AF21">
            <v>1</v>
          </cell>
          <cell r="FQ21">
            <v>1</v>
          </cell>
          <cell r="FU21">
            <v>1</v>
          </cell>
        </row>
        <row r="22">
          <cell r="G22">
            <v>0</v>
          </cell>
          <cell r="H22">
            <v>0</v>
          </cell>
          <cell r="I22">
            <v>0</v>
          </cell>
          <cell r="J22">
            <v>0</v>
          </cell>
          <cell r="K22">
            <v>2014</v>
          </cell>
          <cell r="M22">
            <v>0</v>
          </cell>
          <cell r="AF22">
            <v>2</v>
          </cell>
          <cell r="FQ22">
            <v>2</v>
          </cell>
          <cell r="FU22">
            <v>3</v>
          </cell>
        </row>
        <row r="23">
          <cell r="G23">
            <v>0</v>
          </cell>
          <cell r="H23">
            <v>0</v>
          </cell>
          <cell r="I23">
            <v>0</v>
          </cell>
          <cell r="J23">
            <v>0</v>
          </cell>
          <cell r="K23">
            <v>2015</v>
          </cell>
          <cell r="M23">
            <v>0</v>
          </cell>
          <cell r="AF23">
            <v>3</v>
          </cell>
          <cell r="FQ23">
            <v>2</v>
          </cell>
          <cell r="FU23">
            <v>5</v>
          </cell>
        </row>
        <row r="24">
          <cell r="G24">
            <v>0</v>
          </cell>
          <cell r="H24">
            <v>5</v>
          </cell>
          <cell r="I24">
            <v>0</v>
          </cell>
          <cell r="J24">
            <v>0</v>
          </cell>
          <cell r="K24">
            <v>2016</v>
          </cell>
          <cell r="M24">
            <v>0.17857142857142858</v>
          </cell>
          <cell r="AF24">
            <v>4</v>
          </cell>
          <cell r="FQ24">
            <v>1</v>
          </cell>
          <cell r="FU24">
            <v>6</v>
          </cell>
        </row>
        <row r="25">
          <cell r="G25">
            <v>2</v>
          </cell>
          <cell r="H25">
            <v>0</v>
          </cell>
          <cell r="I25">
            <v>0</v>
          </cell>
          <cell r="J25">
            <v>0</v>
          </cell>
          <cell r="K25">
            <v>2017</v>
          </cell>
          <cell r="M25">
            <v>7.1428571428571425E-2</v>
          </cell>
          <cell r="AF25">
            <v>5</v>
          </cell>
          <cell r="FQ25">
            <v>1</v>
          </cell>
          <cell r="FU25">
            <v>7</v>
          </cell>
        </row>
        <row r="26">
          <cell r="G26">
            <v>7</v>
          </cell>
          <cell r="H26">
            <v>2</v>
          </cell>
          <cell r="I26">
            <v>1</v>
          </cell>
          <cell r="J26">
            <v>0</v>
          </cell>
          <cell r="K26">
            <v>2018</v>
          </cell>
          <cell r="M26">
            <v>0.35714285714285715</v>
          </cell>
          <cell r="AF26">
            <v>6</v>
          </cell>
          <cell r="FQ26">
            <v>1</v>
          </cell>
          <cell r="FU26">
            <v>8</v>
          </cell>
        </row>
        <row r="27">
          <cell r="AF27">
            <v>7</v>
          </cell>
          <cell r="FQ27">
            <v>2</v>
          </cell>
          <cell r="FU27">
            <v>10</v>
          </cell>
        </row>
        <row r="28">
          <cell r="AF28">
            <v>8</v>
          </cell>
          <cell r="FQ28">
            <v>0</v>
          </cell>
          <cell r="FU28">
            <v>10</v>
          </cell>
        </row>
        <row r="29">
          <cell r="AF29">
            <v>9</v>
          </cell>
          <cell r="FQ29">
            <v>0</v>
          </cell>
          <cell r="FU29">
            <v>10</v>
          </cell>
        </row>
        <row r="30">
          <cell r="AF30">
            <v>10</v>
          </cell>
          <cell r="FQ30">
            <v>0</v>
          </cell>
          <cell r="FU30">
            <v>10</v>
          </cell>
        </row>
        <row r="31">
          <cell r="AF31">
            <v>11</v>
          </cell>
          <cell r="FQ31">
            <v>0</v>
          </cell>
          <cell r="FU31">
            <v>10</v>
          </cell>
        </row>
        <row r="32">
          <cell r="AF32">
            <v>12</v>
          </cell>
          <cell r="FQ32">
            <v>0</v>
          </cell>
          <cell r="FU32">
            <v>10</v>
          </cell>
        </row>
        <row r="36">
          <cell r="FO36">
            <v>2016</v>
          </cell>
          <cell r="FP36">
            <v>2017</v>
          </cell>
          <cell r="FS36" t="str">
            <v>Akumulasi 2016</v>
          </cell>
          <cell r="FT36" t="str">
            <v>Akumulasi 2017</v>
          </cell>
        </row>
        <row r="37">
          <cell r="FN37">
            <v>1</v>
          </cell>
          <cell r="FS37">
            <v>5</v>
          </cell>
          <cell r="FT37">
            <v>1</v>
          </cell>
          <cell r="FU37">
            <v>1</v>
          </cell>
        </row>
        <row r="38">
          <cell r="FN38">
            <v>2</v>
          </cell>
          <cell r="FS38">
            <v>6</v>
          </cell>
          <cell r="FT38">
            <v>3</v>
          </cell>
          <cell r="FU38">
            <v>1</v>
          </cell>
        </row>
        <row r="39">
          <cell r="FN39">
            <v>3</v>
          </cell>
          <cell r="FS39">
            <v>11</v>
          </cell>
          <cell r="FT39">
            <v>10</v>
          </cell>
          <cell r="FU39">
            <v>1</v>
          </cell>
        </row>
        <row r="40">
          <cell r="FN40">
            <v>4</v>
          </cell>
          <cell r="FS40">
            <v>15</v>
          </cell>
          <cell r="FT40">
            <v>21</v>
          </cell>
          <cell r="FU40">
            <v>1</v>
          </cell>
        </row>
        <row r="41">
          <cell r="FN41">
            <v>5</v>
          </cell>
          <cell r="FS41">
            <v>18</v>
          </cell>
          <cell r="FT41">
            <v>23</v>
          </cell>
          <cell r="FU41">
            <v>2</v>
          </cell>
        </row>
        <row r="42">
          <cell r="FN42">
            <v>6</v>
          </cell>
          <cell r="FS42">
            <v>25</v>
          </cell>
          <cell r="FT42">
            <v>30</v>
          </cell>
          <cell r="FU42">
            <v>2</v>
          </cell>
        </row>
        <row r="43">
          <cell r="FN43">
            <v>7</v>
          </cell>
          <cell r="FS43">
            <v>25</v>
          </cell>
          <cell r="FT43">
            <v>36</v>
          </cell>
          <cell r="FU43">
            <v>3</v>
          </cell>
        </row>
        <row r="44">
          <cell r="FN44">
            <v>8</v>
          </cell>
          <cell r="FS44">
            <v>31</v>
          </cell>
          <cell r="FT44">
            <v>41</v>
          </cell>
          <cell r="FU44">
            <v>3</v>
          </cell>
        </row>
        <row r="45">
          <cell r="FN45">
            <v>9</v>
          </cell>
          <cell r="FS45">
            <v>31</v>
          </cell>
          <cell r="FT45">
            <v>43</v>
          </cell>
          <cell r="FU45">
            <v>3</v>
          </cell>
        </row>
        <row r="46">
          <cell r="FN46">
            <v>10</v>
          </cell>
          <cell r="FS46">
            <v>41</v>
          </cell>
          <cell r="FT46">
            <v>45</v>
          </cell>
          <cell r="FU46">
            <v>3</v>
          </cell>
        </row>
        <row r="47">
          <cell r="FN47">
            <v>11</v>
          </cell>
          <cell r="FS47">
            <v>43</v>
          </cell>
          <cell r="FT47">
            <v>47</v>
          </cell>
          <cell r="FU47">
            <v>3</v>
          </cell>
        </row>
        <row r="48">
          <cell r="FN48">
            <v>12</v>
          </cell>
          <cell r="FS48">
            <v>43</v>
          </cell>
          <cell r="FT48">
            <v>48</v>
          </cell>
          <cell r="FU48">
            <v>3</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M"/>
      <sheetName val="fff"/>
      <sheetName val="Information"/>
    </sheetNames>
    <sheetDataSet>
      <sheetData sheetId="0"/>
      <sheetData sheetId="1"/>
      <sheetData sheetId="2">
        <row r="2">
          <cell r="V2" t="str">
            <v>Settled</v>
          </cell>
          <cell r="W2" t="str">
            <v>Outstanding</v>
          </cell>
        </row>
        <row r="3">
          <cell r="G3" t="str">
            <v>0 Day - 7 Days</v>
          </cell>
          <cell r="H3" t="str">
            <v>7 Days - 14 Days</v>
          </cell>
          <cell r="I3" t="str">
            <v>14 Days - 30 Days</v>
          </cell>
          <cell r="J3" t="str">
            <v>&gt;30 Days</v>
          </cell>
          <cell r="FO3">
            <v>2016</v>
          </cell>
          <cell r="FP3">
            <v>2017</v>
          </cell>
        </row>
        <row r="4">
          <cell r="FO4">
            <v>2</v>
          </cell>
          <cell r="FP4">
            <v>0</v>
          </cell>
          <cell r="FS4">
            <v>2</v>
          </cell>
          <cell r="FT4">
            <v>0</v>
          </cell>
        </row>
        <row r="5">
          <cell r="G5">
            <v>66</v>
          </cell>
          <cell r="H5">
            <v>0</v>
          </cell>
          <cell r="I5">
            <v>0</v>
          </cell>
          <cell r="J5">
            <v>0</v>
          </cell>
          <cell r="FO5">
            <v>3</v>
          </cell>
          <cell r="FP5">
            <v>0</v>
          </cell>
          <cell r="FS5">
            <v>5</v>
          </cell>
          <cell r="FT5">
            <v>0</v>
          </cell>
        </row>
        <row r="6">
          <cell r="FO6">
            <v>4</v>
          </cell>
          <cell r="FP6">
            <v>1</v>
          </cell>
          <cell r="FS6">
            <v>9</v>
          </cell>
          <cell r="FT6">
            <v>1</v>
          </cell>
        </row>
        <row r="7">
          <cell r="FO7">
            <v>4</v>
          </cell>
          <cell r="FP7">
            <v>0</v>
          </cell>
          <cell r="FS7">
            <v>13</v>
          </cell>
          <cell r="FT7">
            <v>1</v>
          </cell>
        </row>
        <row r="8">
          <cell r="FO8">
            <v>3</v>
          </cell>
          <cell r="FP8">
            <v>0</v>
          </cell>
          <cell r="FS8">
            <v>16</v>
          </cell>
          <cell r="FT8">
            <v>1</v>
          </cell>
        </row>
        <row r="9">
          <cell r="V9">
            <v>0</v>
          </cell>
          <cell r="W9">
            <v>0</v>
          </cell>
          <cell r="X9">
            <v>2010</v>
          </cell>
          <cell r="Y9">
            <v>0</v>
          </cell>
          <cell r="Z9">
            <v>0</v>
          </cell>
          <cell r="AA9">
            <v>0</v>
          </cell>
          <cell r="AB9">
            <v>0</v>
          </cell>
          <cell r="FO9">
            <v>0</v>
          </cell>
          <cell r="FP9">
            <v>0</v>
          </cell>
          <cell r="FS9">
            <v>16</v>
          </cell>
          <cell r="FT9">
            <v>1</v>
          </cell>
        </row>
        <row r="10">
          <cell r="V10">
            <v>0</v>
          </cell>
          <cell r="W10">
            <v>0</v>
          </cell>
          <cell r="X10">
            <v>2011</v>
          </cell>
          <cell r="Y10">
            <v>0</v>
          </cell>
          <cell r="Z10">
            <v>0</v>
          </cell>
          <cell r="AA10">
            <v>0</v>
          </cell>
          <cell r="AB10">
            <v>0</v>
          </cell>
          <cell r="FO10">
            <v>0</v>
          </cell>
          <cell r="FP10">
            <v>0</v>
          </cell>
          <cell r="FS10">
            <v>16</v>
          </cell>
          <cell r="FT10">
            <v>1</v>
          </cell>
        </row>
        <row r="11">
          <cell r="V11">
            <v>0</v>
          </cell>
          <cell r="W11">
            <v>0</v>
          </cell>
          <cell r="X11">
            <v>2012</v>
          </cell>
          <cell r="Y11">
            <v>0</v>
          </cell>
          <cell r="Z11">
            <v>0</v>
          </cell>
          <cell r="AA11">
            <v>0</v>
          </cell>
          <cell r="AB11">
            <v>0</v>
          </cell>
          <cell r="FO11">
            <v>0</v>
          </cell>
          <cell r="FP11">
            <v>0</v>
          </cell>
          <cell r="FS11">
            <v>16</v>
          </cell>
          <cell r="FT11">
            <v>1</v>
          </cell>
        </row>
        <row r="12">
          <cell r="V12">
            <v>0</v>
          </cell>
          <cell r="W12">
            <v>0</v>
          </cell>
          <cell r="X12">
            <v>2013</v>
          </cell>
          <cell r="Y12">
            <v>0</v>
          </cell>
          <cell r="Z12">
            <v>0</v>
          </cell>
          <cell r="AA12">
            <v>0</v>
          </cell>
          <cell r="AB12">
            <v>0</v>
          </cell>
          <cell r="FO12">
            <v>0</v>
          </cell>
          <cell r="FP12">
            <v>0</v>
          </cell>
          <cell r="FS12">
            <v>16</v>
          </cell>
          <cell r="FT12">
            <v>1</v>
          </cell>
        </row>
        <row r="13">
          <cell r="V13">
            <v>1</v>
          </cell>
          <cell r="W13">
            <v>0</v>
          </cell>
          <cell r="X13">
            <v>2014</v>
          </cell>
          <cell r="Y13">
            <v>0</v>
          </cell>
          <cell r="Z13">
            <v>1</v>
          </cell>
          <cell r="AA13">
            <v>0</v>
          </cell>
          <cell r="AB13">
            <v>0</v>
          </cell>
          <cell r="FO13">
            <v>0</v>
          </cell>
          <cell r="FP13">
            <v>0</v>
          </cell>
          <cell r="FS13">
            <v>16</v>
          </cell>
          <cell r="FT13">
            <v>1</v>
          </cell>
        </row>
        <row r="14">
          <cell r="V14">
            <v>8</v>
          </cell>
          <cell r="W14">
            <v>30</v>
          </cell>
          <cell r="X14">
            <v>2015</v>
          </cell>
          <cell r="Y14">
            <v>0</v>
          </cell>
          <cell r="Z14">
            <v>4</v>
          </cell>
          <cell r="AA14">
            <v>32</v>
          </cell>
          <cell r="AB14">
            <v>2</v>
          </cell>
          <cell r="FO14">
            <v>0</v>
          </cell>
          <cell r="FP14">
            <v>0</v>
          </cell>
          <cell r="FS14">
            <v>16</v>
          </cell>
          <cell r="FT14">
            <v>1</v>
          </cell>
        </row>
        <row r="15">
          <cell r="V15">
            <v>19</v>
          </cell>
          <cell r="W15">
            <v>35</v>
          </cell>
          <cell r="X15">
            <v>2016</v>
          </cell>
          <cell r="Y15">
            <v>0</v>
          </cell>
          <cell r="Z15">
            <v>1</v>
          </cell>
          <cell r="AA15">
            <v>49</v>
          </cell>
          <cell r="AB15">
            <v>4</v>
          </cell>
          <cell r="FO15">
            <v>0</v>
          </cell>
          <cell r="FP15">
            <v>0</v>
          </cell>
          <cell r="FS15">
            <v>16</v>
          </cell>
          <cell r="FT15">
            <v>1</v>
          </cell>
        </row>
        <row r="16">
          <cell r="V16">
            <v>1</v>
          </cell>
          <cell r="W16">
            <v>0</v>
          </cell>
          <cell r="X16">
            <v>2017</v>
          </cell>
          <cell r="Y16">
            <v>1</v>
          </cell>
          <cell r="Z16">
            <v>0</v>
          </cell>
          <cell r="AA16">
            <v>0</v>
          </cell>
          <cell r="AB16">
            <v>0</v>
          </cell>
        </row>
        <row r="17">
          <cell r="V17">
            <v>0</v>
          </cell>
          <cell r="W17">
            <v>0</v>
          </cell>
          <cell r="X17">
            <v>2018</v>
          </cell>
          <cell r="Y17">
            <v>0</v>
          </cell>
          <cell r="Z17">
            <v>0</v>
          </cell>
          <cell r="AA17">
            <v>0</v>
          </cell>
          <cell r="AB17">
            <v>0</v>
          </cell>
        </row>
        <row r="18">
          <cell r="G18">
            <v>0</v>
          </cell>
          <cell r="H18">
            <v>0</v>
          </cell>
          <cell r="I18">
            <v>0</v>
          </cell>
          <cell r="J18">
            <v>0</v>
          </cell>
          <cell r="K18">
            <v>2010</v>
          </cell>
          <cell r="M18">
            <v>0</v>
          </cell>
        </row>
        <row r="19">
          <cell r="G19">
            <v>0</v>
          </cell>
          <cell r="H19">
            <v>0</v>
          </cell>
          <cell r="I19">
            <v>0</v>
          </cell>
          <cell r="J19">
            <v>0</v>
          </cell>
          <cell r="K19">
            <v>2011</v>
          </cell>
          <cell r="M19">
            <v>0</v>
          </cell>
        </row>
        <row r="20">
          <cell r="G20">
            <v>0</v>
          </cell>
          <cell r="H20">
            <v>0</v>
          </cell>
          <cell r="I20">
            <v>0</v>
          </cell>
          <cell r="J20">
            <v>0</v>
          </cell>
          <cell r="K20">
            <v>2012</v>
          </cell>
          <cell r="M20">
            <v>0</v>
          </cell>
          <cell r="FQ20">
            <v>2018</v>
          </cell>
          <cell r="FU20" t="str">
            <v>Akumulasi 2018</v>
          </cell>
        </row>
        <row r="21">
          <cell r="G21">
            <v>0</v>
          </cell>
          <cell r="H21">
            <v>0</v>
          </cell>
          <cell r="I21">
            <v>0</v>
          </cell>
          <cell r="J21">
            <v>0</v>
          </cell>
          <cell r="K21">
            <v>2013</v>
          </cell>
          <cell r="M21">
            <v>0</v>
          </cell>
          <cell r="AF21">
            <v>1</v>
          </cell>
          <cell r="FQ21">
            <v>0</v>
          </cell>
          <cell r="FU21">
            <v>0</v>
          </cell>
        </row>
        <row r="22">
          <cell r="G22">
            <v>0</v>
          </cell>
          <cell r="H22">
            <v>0</v>
          </cell>
          <cell r="I22">
            <v>0</v>
          </cell>
          <cell r="J22">
            <v>0</v>
          </cell>
          <cell r="K22">
            <v>2014</v>
          </cell>
          <cell r="M22">
            <v>0</v>
          </cell>
          <cell r="AF22">
            <v>2</v>
          </cell>
          <cell r="FQ22">
            <v>0</v>
          </cell>
          <cell r="FU22">
            <v>0</v>
          </cell>
        </row>
        <row r="23">
          <cell r="G23">
            <v>30</v>
          </cell>
          <cell r="H23">
            <v>0</v>
          </cell>
          <cell r="I23">
            <v>0</v>
          </cell>
          <cell r="J23">
            <v>0</v>
          </cell>
          <cell r="K23">
            <v>2015</v>
          </cell>
          <cell r="M23">
            <v>0.45454545454545453</v>
          </cell>
          <cell r="AF23">
            <v>3</v>
          </cell>
          <cell r="FQ23">
            <v>0</v>
          </cell>
          <cell r="FU23">
            <v>0</v>
          </cell>
        </row>
        <row r="24">
          <cell r="G24">
            <v>36</v>
          </cell>
          <cell r="H24">
            <v>0</v>
          </cell>
          <cell r="I24">
            <v>0</v>
          </cell>
          <cell r="J24">
            <v>0</v>
          </cell>
          <cell r="K24">
            <v>2016</v>
          </cell>
          <cell r="M24">
            <v>0.54545454545454541</v>
          </cell>
          <cell r="AF24">
            <v>4</v>
          </cell>
          <cell r="FQ24">
            <v>0</v>
          </cell>
          <cell r="FU24">
            <v>0</v>
          </cell>
        </row>
        <row r="25">
          <cell r="G25">
            <v>0</v>
          </cell>
          <cell r="H25">
            <v>0</v>
          </cell>
          <cell r="I25">
            <v>0</v>
          </cell>
          <cell r="J25">
            <v>0</v>
          </cell>
          <cell r="K25">
            <v>2017</v>
          </cell>
          <cell r="M25">
            <v>0</v>
          </cell>
          <cell r="AF25">
            <v>5</v>
          </cell>
          <cell r="FQ25">
            <v>0</v>
          </cell>
          <cell r="FU25">
            <v>0</v>
          </cell>
        </row>
        <row r="26">
          <cell r="G26">
            <v>0</v>
          </cell>
          <cell r="H26">
            <v>0</v>
          </cell>
          <cell r="I26">
            <v>0</v>
          </cell>
          <cell r="J26">
            <v>0</v>
          </cell>
          <cell r="K26">
            <v>2018</v>
          </cell>
          <cell r="M26">
            <v>0</v>
          </cell>
          <cell r="AF26">
            <v>6</v>
          </cell>
          <cell r="FQ26">
            <v>0</v>
          </cell>
          <cell r="FU26">
            <v>0</v>
          </cell>
        </row>
        <row r="27">
          <cell r="AF27">
            <v>7</v>
          </cell>
          <cell r="FQ27">
            <v>0</v>
          </cell>
          <cell r="FU27">
            <v>0</v>
          </cell>
        </row>
        <row r="28">
          <cell r="AF28">
            <v>8</v>
          </cell>
          <cell r="FQ28">
            <v>0</v>
          </cell>
          <cell r="FU28">
            <v>0</v>
          </cell>
        </row>
        <row r="29">
          <cell r="AF29">
            <v>9</v>
          </cell>
          <cell r="FQ29">
            <v>0</v>
          </cell>
          <cell r="FU29">
            <v>0</v>
          </cell>
        </row>
        <row r="30">
          <cell r="AF30">
            <v>10</v>
          </cell>
          <cell r="FQ30">
            <v>0</v>
          </cell>
          <cell r="FU30">
            <v>0</v>
          </cell>
        </row>
        <row r="31">
          <cell r="AF31">
            <v>11</v>
          </cell>
          <cell r="FQ31">
            <v>0</v>
          </cell>
          <cell r="FU31">
            <v>0</v>
          </cell>
        </row>
        <row r="32">
          <cell r="AF32">
            <v>12</v>
          </cell>
          <cell r="FQ32">
            <v>0</v>
          </cell>
          <cell r="FU32">
            <v>0</v>
          </cell>
        </row>
        <row r="36">
          <cell r="FO36">
            <v>2016</v>
          </cell>
          <cell r="FP36">
            <v>2017</v>
          </cell>
          <cell r="FQ36">
            <v>2018</v>
          </cell>
          <cell r="FS36" t="str">
            <v>Akumulasi 2016</v>
          </cell>
          <cell r="FT36" t="str">
            <v>Akumulasi 2017</v>
          </cell>
        </row>
        <row r="37">
          <cell r="FN37">
            <v>1</v>
          </cell>
          <cell r="FS37">
            <v>0</v>
          </cell>
          <cell r="FT37">
            <v>0</v>
          </cell>
          <cell r="FU37">
            <v>1</v>
          </cell>
        </row>
        <row r="38">
          <cell r="FN38">
            <v>2</v>
          </cell>
          <cell r="FS38">
            <v>1</v>
          </cell>
          <cell r="FT38">
            <v>0</v>
          </cell>
          <cell r="FU38">
            <v>2</v>
          </cell>
        </row>
        <row r="39">
          <cell r="FN39">
            <v>3</v>
          </cell>
          <cell r="FS39">
            <v>1</v>
          </cell>
          <cell r="FT39">
            <v>6</v>
          </cell>
          <cell r="FU39">
            <v>2</v>
          </cell>
        </row>
        <row r="40">
          <cell r="FN40">
            <v>4</v>
          </cell>
          <cell r="FS40">
            <v>1</v>
          </cell>
          <cell r="FT40">
            <v>9</v>
          </cell>
          <cell r="FU40">
            <v>3</v>
          </cell>
        </row>
        <row r="41">
          <cell r="FN41">
            <v>5</v>
          </cell>
          <cell r="FS41">
            <v>3</v>
          </cell>
          <cell r="FT41">
            <v>11</v>
          </cell>
          <cell r="FU41">
            <v>4</v>
          </cell>
        </row>
        <row r="42">
          <cell r="FN42">
            <v>6</v>
          </cell>
          <cell r="FS42">
            <v>3</v>
          </cell>
          <cell r="FT42">
            <v>11</v>
          </cell>
          <cell r="FU42">
            <v>4</v>
          </cell>
        </row>
        <row r="43">
          <cell r="FN43">
            <v>7</v>
          </cell>
          <cell r="FS43">
            <v>4</v>
          </cell>
          <cell r="FT43">
            <v>12</v>
          </cell>
          <cell r="FU43">
            <v>4</v>
          </cell>
        </row>
        <row r="44">
          <cell r="FN44">
            <v>8</v>
          </cell>
          <cell r="FS44">
            <v>6</v>
          </cell>
          <cell r="FT44">
            <v>13</v>
          </cell>
          <cell r="FU44">
            <v>4</v>
          </cell>
        </row>
        <row r="45">
          <cell r="FN45">
            <v>9</v>
          </cell>
          <cell r="FS45">
            <v>6</v>
          </cell>
          <cell r="FT45">
            <v>13</v>
          </cell>
          <cell r="FU45">
            <v>4</v>
          </cell>
        </row>
        <row r="46">
          <cell r="FN46">
            <v>10</v>
          </cell>
          <cell r="FS46">
            <v>7</v>
          </cell>
          <cell r="FT46">
            <v>13</v>
          </cell>
          <cell r="FU46">
            <v>4</v>
          </cell>
        </row>
        <row r="47">
          <cell r="FN47">
            <v>11</v>
          </cell>
          <cell r="FS47">
            <v>8</v>
          </cell>
          <cell r="FT47">
            <v>13</v>
          </cell>
          <cell r="FU47">
            <v>4</v>
          </cell>
        </row>
        <row r="48">
          <cell r="FN48">
            <v>12</v>
          </cell>
          <cell r="FS48">
            <v>8</v>
          </cell>
          <cell r="FT48">
            <v>13</v>
          </cell>
          <cell r="FU48">
            <v>4</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ff"/>
      <sheetName val="Old"/>
      <sheetName val="Hull"/>
      <sheetName val="Information"/>
      <sheetName val="Sheet1"/>
    </sheetNames>
    <sheetDataSet>
      <sheetData sheetId="0"/>
      <sheetData sheetId="1"/>
      <sheetData sheetId="2"/>
      <sheetData sheetId="3">
        <row r="2">
          <cell r="V2" t="str">
            <v>Settled</v>
          </cell>
          <cell r="W2" t="str">
            <v>Outstanding</v>
          </cell>
        </row>
        <row r="3">
          <cell r="G3" t="str">
            <v>0 Day - 7 Days</v>
          </cell>
          <cell r="H3" t="str">
            <v>7 Days - 14 Days</v>
          </cell>
          <cell r="I3" t="str">
            <v>14 Days - 30 Days</v>
          </cell>
          <cell r="J3" t="str">
            <v>&gt;30 Days</v>
          </cell>
          <cell r="FO3">
            <v>2016</v>
          </cell>
          <cell r="FP3">
            <v>2017</v>
          </cell>
        </row>
        <row r="4">
          <cell r="FO4">
            <v>2</v>
          </cell>
          <cell r="FP4">
            <v>0</v>
          </cell>
          <cell r="FS4">
            <v>2</v>
          </cell>
          <cell r="FT4">
            <v>0</v>
          </cell>
        </row>
        <row r="5">
          <cell r="G5">
            <v>8</v>
          </cell>
          <cell r="H5">
            <v>0</v>
          </cell>
          <cell r="I5">
            <v>0</v>
          </cell>
          <cell r="J5">
            <v>1</v>
          </cell>
          <cell r="FO5">
            <v>0</v>
          </cell>
          <cell r="FP5">
            <v>0</v>
          </cell>
          <cell r="FS5">
            <v>2</v>
          </cell>
          <cell r="FT5">
            <v>0</v>
          </cell>
        </row>
        <row r="6">
          <cell r="FO6">
            <v>0</v>
          </cell>
          <cell r="FP6">
            <v>0</v>
          </cell>
          <cell r="FS6">
            <v>2</v>
          </cell>
          <cell r="FT6">
            <v>0</v>
          </cell>
        </row>
        <row r="7">
          <cell r="FO7">
            <v>0</v>
          </cell>
          <cell r="FP7">
            <v>1</v>
          </cell>
          <cell r="FS7">
            <v>2</v>
          </cell>
          <cell r="FT7">
            <v>1</v>
          </cell>
        </row>
        <row r="8">
          <cell r="FO8">
            <v>0</v>
          </cell>
          <cell r="FP8">
            <v>0</v>
          </cell>
          <cell r="FS8">
            <v>2</v>
          </cell>
          <cell r="FT8">
            <v>1</v>
          </cell>
        </row>
        <row r="9">
          <cell r="V9">
            <v>4</v>
          </cell>
          <cell r="W9">
            <v>1</v>
          </cell>
          <cell r="X9">
            <v>2010</v>
          </cell>
          <cell r="Y9">
            <v>0</v>
          </cell>
          <cell r="Z9">
            <v>3</v>
          </cell>
          <cell r="AA9">
            <v>0</v>
          </cell>
          <cell r="AB9">
            <v>2</v>
          </cell>
          <cell r="FO9">
            <v>0</v>
          </cell>
          <cell r="FP9">
            <v>0</v>
          </cell>
          <cell r="FS9">
            <v>2</v>
          </cell>
          <cell r="FT9">
            <v>1</v>
          </cell>
        </row>
        <row r="10">
          <cell r="V10">
            <v>6</v>
          </cell>
          <cell r="W10">
            <v>2</v>
          </cell>
          <cell r="X10">
            <v>2011</v>
          </cell>
          <cell r="Y10">
            <v>0</v>
          </cell>
          <cell r="Z10">
            <v>3</v>
          </cell>
          <cell r="AA10">
            <v>0</v>
          </cell>
          <cell r="AB10">
            <v>5</v>
          </cell>
          <cell r="FO10">
            <v>0</v>
          </cell>
          <cell r="FP10">
            <v>0</v>
          </cell>
          <cell r="FS10">
            <v>2</v>
          </cell>
          <cell r="FT10">
            <v>1</v>
          </cell>
        </row>
        <row r="11">
          <cell r="V11">
            <v>6</v>
          </cell>
          <cell r="W11">
            <v>1</v>
          </cell>
          <cell r="X11">
            <v>2012</v>
          </cell>
          <cell r="Y11">
            <v>0</v>
          </cell>
          <cell r="Z11">
            <v>3</v>
          </cell>
          <cell r="AA11">
            <v>0</v>
          </cell>
          <cell r="AB11">
            <v>4</v>
          </cell>
          <cell r="FO11">
            <v>0</v>
          </cell>
          <cell r="FP11">
            <v>1</v>
          </cell>
          <cell r="FS11">
            <v>2</v>
          </cell>
          <cell r="FT11">
            <v>2</v>
          </cell>
        </row>
        <row r="12">
          <cell r="V12">
            <v>1</v>
          </cell>
          <cell r="W12">
            <v>0</v>
          </cell>
          <cell r="X12">
            <v>2013</v>
          </cell>
          <cell r="Y12">
            <v>0</v>
          </cell>
          <cell r="Z12">
            <v>1</v>
          </cell>
          <cell r="AA12">
            <v>0</v>
          </cell>
          <cell r="AB12">
            <v>0</v>
          </cell>
          <cell r="FO12">
            <v>1</v>
          </cell>
          <cell r="FP12">
            <v>0</v>
          </cell>
          <cell r="FS12">
            <v>3</v>
          </cell>
          <cell r="FT12">
            <v>2</v>
          </cell>
        </row>
        <row r="13">
          <cell r="V13">
            <v>0</v>
          </cell>
          <cell r="W13">
            <v>0</v>
          </cell>
          <cell r="X13">
            <v>2014</v>
          </cell>
          <cell r="Y13">
            <v>0</v>
          </cell>
          <cell r="Z13">
            <v>0</v>
          </cell>
          <cell r="AA13">
            <v>0</v>
          </cell>
          <cell r="AB13">
            <v>0</v>
          </cell>
          <cell r="FO13">
            <v>0</v>
          </cell>
          <cell r="FP13">
            <v>0</v>
          </cell>
          <cell r="FS13">
            <v>3</v>
          </cell>
          <cell r="FT13">
            <v>2</v>
          </cell>
        </row>
        <row r="14">
          <cell r="V14">
            <v>0</v>
          </cell>
          <cell r="W14">
            <v>0</v>
          </cell>
          <cell r="X14">
            <v>2015</v>
          </cell>
          <cell r="Y14">
            <v>0</v>
          </cell>
          <cell r="Z14">
            <v>0</v>
          </cell>
          <cell r="AA14">
            <v>0</v>
          </cell>
          <cell r="AB14">
            <v>0</v>
          </cell>
          <cell r="FO14">
            <v>0</v>
          </cell>
          <cell r="FP14">
            <v>0</v>
          </cell>
          <cell r="FS14">
            <v>3</v>
          </cell>
          <cell r="FT14">
            <v>2</v>
          </cell>
        </row>
        <row r="15">
          <cell r="V15">
            <v>2</v>
          </cell>
          <cell r="W15">
            <v>0</v>
          </cell>
          <cell r="X15">
            <v>2016</v>
          </cell>
          <cell r="Y15">
            <v>0</v>
          </cell>
          <cell r="Z15">
            <v>2</v>
          </cell>
          <cell r="AA15">
            <v>0</v>
          </cell>
          <cell r="AB15">
            <v>0</v>
          </cell>
          <cell r="FO15">
            <v>1</v>
          </cell>
          <cell r="FP15">
            <v>0</v>
          </cell>
          <cell r="FS15">
            <v>4</v>
          </cell>
          <cell r="FT15">
            <v>2</v>
          </cell>
        </row>
        <row r="16">
          <cell r="V16">
            <v>2</v>
          </cell>
          <cell r="W16">
            <v>2</v>
          </cell>
          <cell r="X16">
            <v>2017</v>
          </cell>
          <cell r="Y16">
            <v>0</v>
          </cell>
          <cell r="Z16">
            <v>4</v>
          </cell>
          <cell r="AA16">
            <v>0</v>
          </cell>
          <cell r="AB16">
            <v>0</v>
          </cell>
        </row>
        <row r="17">
          <cell r="V17">
            <v>0</v>
          </cell>
          <cell r="W17">
            <v>0</v>
          </cell>
          <cell r="X17">
            <v>2018</v>
          </cell>
          <cell r="Y17">
            <v>0</v>
          </cell>
          <cell r="Z17">
            <v>0</v>
          </cell>
          <cell r="AA17">
            <v>0</v>
          </cell>
          <cell r="AB17">
            <v>0</v>
          </cell>
        </row>
        <row r="18">
          <cell r="G18">
            <v>1</v>
          </cell>
          <cell r="H18">
            <v>0</v>
          </cell>
          <cell r="I18">
            <v>0</v>
          </cell>
          <cell r="J18">
            <v>0</v>
          </cell>
          <cell r="K18">
            <v>2010</v>
          </cell>
          <cell r="M18">
            <v>0.1111111111111111</v>
          </cell>
        </row>
        <row r="19">
          <cell r="G19">
            <v>2</v>
          </cell>
          <cell r="H19">
            <v>0</v>
          </cell>
          <cell r="I19">
            <v>0</v>
          </cell>
          <cell r="J19">
            <v>0</v>
          </cell>
          <cell r="K19">
            <v>2011</v>
          </cell>
          <cell r="M19">
            <v>0.22222222222222221</v>
          </cell>
        </row>
        <row r="20">
          <cell r="G20">
            <v>2</v>
          </cell>
          <cell r="H20">
            <v>0</v>
          </cell>
          <cell r="I20">
            <v>0</v>
          </cell>
          <cell r="J20">
            <v>1</v>
          </cell>
          <cell r="K20">
            <v>2012</v>
          </cell>
          <cell r="M20">
            <v>0.33333333333333331</v>
          </cell>
          <cell r="FQ20">
            <v>2018</v>
          </cell>
          <cell r="FU20" t="str">
            <v>Akumulasi 2018</v>
          </cell>
        </row>
        <row r="21">
          <cell r="G21">
            <v>0</v>
          </cell>
          <cell r="H21">
            <v>0</v>
          </cell>
          <cell r="I21">
            <v>0</v>
          </cell>
          <cell r="J21">
            <v>0</v>
          </cell>
          <cell r="K21">
            <v>2013</v>
          </cell>
          <cell r="M21">
            <v>0</v>
          </cell>
          <cell r="AF21">
            <v>1</v>
          </cell>
          <cell r="FN21">
            <v>1</v>
          </cell>
          <cell r="FQ21">
            <v>0</v>
          </cell>
          <cell r="FU21">
            <v>0</v>
          </cell>
        </row>
        <row r="22">
          <cell r="G22">
            <v>0</v>
          </cell>
          <cell r="H22">
            <v>0</v>
          </cell>
          <cell r="I22">
            <v>0</v>
          </cell>
          <cell r="J22">
            <v>0</v>
          </cell>
          <cell r="K22">
            <v>2014</v>
          </cell>
          <cell r="M22">
            <v>0</v>
          </cell>
          <cell r="AF22">
            <v>2</v>
          </cell>
          <cell r="FN22">
            <v>2</v>
          </cell>
          <cell r="FQ22">
            <v>0</v>
          </cell>
          <cell r="FU22">
            <v>0</v>
          </cell>
        </row>
        <row r="23">
          <cell r="G23">
            <v>0</v>
          </cell>
          <cell r="H23">
            <v>0</v>
          </cell>
          <cell r="I23">
            <v>0</v>
          </cell>
          <cell r="J23">
            <v>0</v>
          </cell>
          <cell r="K23">
            <v>2015</v>
          </cell>
          <cell r="M23">
            <v>0</v>
          </cell>
          <cell r="AF23">
            <v>3</v>
          </cell>
          <cell r="FN23">
            <v>3</v>
          </cell>
          <cell r="FQ23">
            <v>0</v>
          </cell>
          <cell r="FU23">
            <v>0</v>
          </cell>
        </row>
        <row r="24">
          <cell r="G24">
            <v>0</v>
          </cell>
          <cell r="H24">
            <v>0</v>
          </cell>
          <cell r="I24">
            <v>0</v>
          </cell>
          <cell r="J24">
            <v>0</v>
          </cell>
          <cell r="K24">
            <v>2016</v>
          </cell>
          <cell r="M24">
            <v>0</v>
          </cell>
          <cell r="AF24">
            <v>4</v>
          </cell>
          <cell r="FN24">
            <v>4</v>
          </cell>
          <cell r="FQ24">
            <v>0</v>
          </cell>
          <cell r="FU24">
            <v>0</v>
          </cell>
        </row>
        <row r="25">
          <cell r="G25">
            <v>3</v>
          </cell>
          <cell r="H25">
            <v>0</v>
          </cell>
          <cell r="I25">
            <v>0</v>
          </cell>
          <cell r="J25">
            <v>0</v>
          </cell>
          <cell r="K25">
            <v>2017</v>
          </cell>
          <cell r="M25">
            <v>0.33333333333333331</v>
          </cell>
          <cell r="AF25">
            <v>5</v>
          </cell>
          <cell r="FN25">
            <v>5</v>
          </cell>
          <cell r="FQ25">
            <v>0</v>
          </cell>
          <cell r="FU25">
            <v>0</v>
          </cell>
        </row>
        <row r="26">
          <cell r="G26">
            <v>0</v>
          </cell>
          <cell r="H26">
            <v>0</v>
          </cell>
          <cell r="I26">
            <v>0</v>
          </cell>
          <cell r="J26">
            <v>0</v>
          </cell>
          <cell r="K26">
            <v>2018</v>
          </cell>
          <cell r="M26">
            <v>0</v>
          </cell>
          <cell r="AF26">
            <v>6</v>
          </cell>
          <cell r="FN26">
            <v>6</v>
          </cell>
          <cell r="FQ26">
            <v>0</v>
          </cell>
          <cell r="FU26">
            <v>0</v>
          </cell>
        </row>
        <row r="27">
          <cell r="AF27">
            <v>7</v>
          </cell>
          <cell r="FN27">
            <v>7</v>
          </cell>
          <cell r="FQ27">
            <v>0</v>
          </cell>
          <cell r="FU27">
            <v>0</v>
          </cell>
        </row>
        <row r="28">
          <cell r="AF28">
            <v>8</v>
          </cell>
          <cell r="FN28">
            <v>8</v>
          </cell>
          <cell r="FQ28">
            <v>0</v>
          </cell>
          <cell r="FU28">
            <v>0</v>
          </cell>
        </row>
        <row r="29">
          <cell r="AF29">
            <v>9</v>
          </cell>
          <cell r="FN29">
            <v>9</v>
          </cell>
          <cell r="FQ29">
            <v>0</v>
          </cell>
          <cell r="FU29">
            <v>0</v>
          </cell>
        </row>
        <row r="30">
          <cell r="AF30">
            <v>10</v>
          </cell>
          <cell r="FN30">
            <v>10</v>
          </cell>
          <cell r="FQ30">
            <v>0</v>
          </cell>
          <cell r="FU30">
            <v>0</v>
          </cell>
        </row>
        <row r="31">
          <cell r="AF31">
            <v>11</v>
          </cell>
          <cell r="FN31">
            <v>11</v>
          </cell>
          <cell r="FQ31">
            <v>0</v>
          </cell>
          <cell r="FU31">
            <v>0</v>
          </cell>
        </row>
        <row r="32">
          <cell r="AF32">
            <v>12</v>
          </cell>
          <cell r="FN32">
            <v>12</v>
          </cell>
          <cell r="FQ32">
            <v>0</v>
          </cell>
          <cell r="FU32">
            <v>0</v>
          </cell>
        </row>
        <row r="36">
          <cell r="FO36">
            <v>2016</v>
          </cell>
          <cell r="FP36">
            <v>2017</v>
          </cell>
          <cell r="FS36" t="str">
            <v>Akumulasi 2016</v>
          </cell>
          <cell r="FT36" t="str">
            <v>Akumulasi 2017</v>
          </cell>
        </row>
        <row r="37">
          <cell r="FS37">
            <v>0</v>
          </cell>
          <cell r="FT37">
            <v>0</v>
          </cell>
          <cell r="FU37">
            <v>1</v>
          </cell>
        </row>
        <row r="38">
          <cell r="FS38">
            <v>0</v>
          </cell>
          <cell r="FT38">
            <v>1</v>
          </cell>
          <cell r="FU38">
            <v>1</v>
          </cell>
        </row>
        <row r="39">
          <cell r="FS39">
            <v>0</v>
          </cell>
          <cell r="FT39">
            <v>1</v>
          </cell>
          <cell r="FU39">
            <v>1</v>
          </cell>
        </row>
        <row r="40">
          <cell r="FS40">
            <v>0</v>
          </cell>
          <cell r="FT40">
            <v>1</v>
          </cell>
          <cell r="FU40">
            <v>2</v>
          </cell>
        </row>
        <row r="41">
          <cell r="FS41">
            <v>0</v>
          </cell>
          <cell r="FT41">
            <v>1</v>
          </cell>
          <cell r="FU41">
            <v>2</v>
          </cell>
        </row>
        <row r="42">
          <cell r="FS42">
            <v>0</v>
          </cell>
          <cell r="FT42">
            <v>1</v>
          </cell>
          <cell r="FU42">
            <v>2</v>
          </cell>
        </row>
        <row r="43">
          <cell r="FS43">
            <v>0</v>
          </cell>
          <cell r="FT43">
            <v>2</v>
          </cell>
          <cell r="FU43">
            <v>2</v>
          </cell>
        </row>
        <row r="44">
          <cell r="FS44">
            <v>0</v>
          </cell>
          <cell r="FT44">
            <v>2</v>
          </cell>
          <cell r="FU44">
            <v>2</v>
          </cell>
        </row>
        <row r="45">
          <cell r="FS45">
            <v>0</v>
          </cell>
          <cell r="FT45">
            <v>3</v>
          </cell>
          <cell r="FU45">
            <v>2</v>
          </cell>
        </row>
        <row r="46">
          <cell r="FS46">
            <v>0</v>
          </cell>
          <cell r="FT46">
            <v>4</v>
          </cell>
          <cell r="FU46">
            <v>2</v>
          </cell>
        </row>
        <row r="47">
          <cell r="FS47">
            <v>0</v>
          </cell>
          <cell r="FT47">
            <v>4</v>
          </cell>
          <cell r="FU47">
            <v>2</v>
          </cell>
        </row>
        <row r="48">
          <cell r="FS48">
            <v>0</v>
          </cell>
          <cell r="FT48">
            <v>4</v>
          </cell>
          <cell r="FU48">
            <v>2</v>
          </cell>
        </row>
      </sheetData>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ff"/>
      <sheetName val="Old"/>
      <sheetName val="casualty"/>
      <sheetName val="Information"/>
      <sheetName val="Sheet1"/>
    </sheetNames>
    <sheetDataSet>
      <sheetData sheetId="0"/>
      <sheetData sheetId="1"/>
      <sheetData sheetId="2"/>
      <sheetData sheetId="3">
        <row r="2">
          <cell r="V2" t="str">
            <v>Settled</v>
          </cell>
          <cell r="W2" t="str">
            <v>Outstanding</v>
          </cell>
        </row>
        <row r="3">
          <cell r="G3" t="str">
            <v>0 Day - 7 Days</v>
          </cell>
          <cell r="H3" t="str">
            <v>7 Days - 14 Days</v>
          </cell>
          <cell r="I3" t="str">
            <v>14 Days - 30 Days</v>
          </cell>
          <cell r="J3" t="str">
            <v>&gt;30 Days</v>
          </cell>
          <cell r="FO3">
            <v>2016</v>
          </cell>
          <cell r="FP3">
            <v>2017</v>
          </cell>
        </row>
        <row r="4">
          <cell r="FO4">
            <v>2</v>
          </cell>
          <cell r="FP4">
            <v>1</v>
          </cell>
          <cell r="FS4">
            <v>2</v>
          </cell>
          <cell r="FT4">
            <v>1</v>
          </cell>
        </row>
        <row r="5">
          <cell r="G5">
            <v>5</v>
          </cell>
          <cell r="H5">
            <v>0</v>
          </cell>
          <cell r="I5">
            <v>0</v>
          </cell>
          <cell r="J5">
            <v>1</v>
          </cell>
          <cell r="FO5">
            <v>1</v>
          </cell>
          <cell r="FP5">
            <v>4</v>
          </cell>
          <cell r="FS5">
            <v>3</v>
          </cell>
          <cell r="FT5">
            <v>5</v>
          </cell>
        </row>
        <row r="6">
          <cell r="FO6">
            <v>1</v>
          </cell>
          <cell r="FP6">
            <v>2</v>
          </cell>
          <cell r="FS6">
            <v>4</v>
          </cell>
          <cell r="FT6">
            <v>7</v>
          </cell>
        </row>
        <row r="7">
          <cell r="FO7">
            <v>3</v>
          </cell>
          <cell r="FP7">
            <v>11</v>
          </cell>
          <cell r="FS7">
            <v>7</v>
          </cell>
          <cell r="FT7">
            <v>18</v>
          </cell>
        </row>
        <row r="8">
          <cell r="FO8">
            <v>1</v>
          </cell>
          <cell r="FP8">
            <v>0</v>
          </cell>
          <cell r="FS8">
            <v>8</v>
          </cell>
          <cell r="FT8">
            <v>18</v>
          </cell>
        </row>
        <row r="9">
          <cell r="V9">
            <v>19</v>
          </cell>
          <cell r="W9">
            <v>0</v>
          </cell>
          <cell r="X9">
            <v>2010</v>
          </cell>
          <cell r="Y9">
            <v>17</v>
          </cell>
          <cell r="Z9">
            <v>2</v>
          </cell>
          <cell r="AA9">
            <v>0</v>
          </cell>
          <cell r="AB9">
            <v>0</v>
          </cell>
          <cell r="FO9">
            <v>1</v>
          </cell>
          <cell r="FP9">
            <v>1</v>
          </cell>
          <cell r="FS9">
            <v>9</v>
          </cell>
          <cell r="FT9">
            <v>19</v>
          </cell>
        </row>
        <row r="10">
          <cell r="V10">
            <v>15</v>
          </cell>
          <cell r="W10">
            <v>0</v>
          </cell>
          <cell r="X10">
            <v>2011</v>
          </cell>
          <cell r="Y10">
            <v>7</v>
          </cell>
          <cell r="Z10">
            <v>8</v>
          </cell>
          <cell r="AA10">
            <v>0</v>
          </cell>
          <cell r="AB10">
            <v>0</v>
          </cell>
          <cell r="FO10">
            <v>1</v>
          </cell>
          <cell r="FP10">
            <v>2</v>
          </cell>
          <cell r="FS10">
            <v>10</v>
          </cell>
          <cell r="FT10">
            <v>21</v>
          </cell>
        </row>
        <row r="11">
          <cell r="V11">
            <v>7</v>
          </cell>
          <cell r="W11">
            <v>0</v>
          </cell>
          <cell r="X11">
            <v>2012</v>
          </cell>
          <cell r="Y11">
            <v>6</v>
          </cell>
          <cell r="Z11">
            <v>1</v>
          </cell>
          <cell r="AA11">
            <v>0</v>
          </cell>
          <cell r="AB11">
            <v>0</v>
          </cell>
          <cell r="FO11">
            <v>1</v>
          </cell>
          <cell r="FP11">
            <v>0</v>
          </cell>
          <cell r="FS11">
            <v>11</v>
          </cell>
          <cell r="FT11">
            <v>21</v>
          </cell>
        </row>
        <row r="12">
          <cell r="V12">
            <v>28</v>
          </cell>
          <cell r="W12">
            <v>0</v>
          </cell>
          <cell r="X12">
            <v>2013</v>
          </cell>
          <cell r="Y12">
            <v>24</v>
          </cell>
          <cell r="Z12">
            <v>4</v>
          </cell>
          <cell r="AA12">
            <v>0</v>
          </cell>
          <cell r="AB12">
            <v>0</v>
          </cell>
          <cell r="FO12">
            <v>0</v>
          </cell>
          <cell r="FP12">
            <v>2</v>
          </cell>
          <cell r="FS12">
            <v>11</v>
          </cell>
          <cell r="FT12">
            <v>23</v>
          </cell>
        </row>
        <row r="13">
          <cell r="V13">
            <v>26</v>
          </cell>
          <cell r="W13">
            <v>0</v>
          </cell>
          <cell r="X13">
            <v>2014</v>
          </cell>
          <cell r="Y13">
            <v>18</v>
          </cell>
          <cell r="Z13">
            <v>2</v>
          </cell>
          <cell r="AA13">
            <v>6</v>
          </cell>
          <cell r="AB13">
            <v>0</v>
          </cell>
          <cell r="FO13">
            <v>7</v>
          </cell>
          <cell r="FP13">
            <v>5</v>
          </cell>
          <cell r="FS13">
            <v>18</v>
          </cell>
          <cell r="FT13">
            <v>28</v>
          </cell>
        </row>
        <row r="14">
          <cell r="V14">
            <v>30</v>
          </cell>
          <cell r="W14">
            <v>0</v>
          </cell>
          <cell r="X14">
            <v>2015</v>
          </cell>
          <cell r="Y14">
            <v>15</v>
          </cell>
          <cell r="Z14">
            <v>6</v>
          </cell>
          <cell r="AA14">
            <v>6</v>
          </cell>
          <cell r="AB14">
            <v>3</v>
          </cell>
          <cell r="FO14">
            <v>0</v>
          </cell>
          <cell r="FP14">
            <v>2</v>
          </cell>
          <cell r="FS14">
            <v>18</v>
          </cell>
          <cell r="FT14">
            <v>30</v>
          </cell>
        </row>
        <row r="15">
          <cell r="V15">
            <v>21</v>
          </cell>
          <cell r="W15">
            <v>1</v>
          </cell>
          <cell r="X15">
            <v>2016</v>
          </cell>
          <cell r="Y15">
            <v>15</v>
          </cell>
          <cell r="Z15">
            <v>1</v>
          </cell>
          <cell r="AA15">
            <v>5</v>
          </cell>
          <cell r="AB15">
            <v>1</v>
          </cell>
          <cell r="FO15">
            <v>3</v>
          </cell>
          <cell r="FP15">
            <v>1</v>
          </cell>
          <cell r="FS15">
            <v>21</v>
          </cell>
          <cell r="FT15">
            <v>31</v>
          </cell>
        </row>
        <row r="16">
          <cell r="V16">
            <v>27</v>
          </cell>
          <cell r="W16">
            <v>4</v>
          </cell>
          <cell r="X16">
            <v>2017</v>
          </cell>
          <cell r="Y16">
            <v>27</v>
          </cell>
          <cell r="Z16">
            <v>4</v>
          </cell>
          <cell r="AA16">
            <v>0</v>
          </cell>
          <cell r="AB16">
            <v>0</v>
          </cell>
        </row>
        <row r="17">
          <cell r="V17">
            <v>4</v>
          </cell>
          <cell r="W17">
            <v>3</v>
          </cell>
          <cell r="X17">
            <v>2018</v>
          </cell>
          <cell r="Y17">
            <v>4</v>
          </cell>
          <cell r="Z17">
            <v>1</v>
          </cell>
          <cell r="AA17">
            <v>2</v>
          </cell>
          <cell r="AB17">
            <v>0</v>
          </cell>
        </row>
        <row r="18">
          <cell r="G18">
            <v>0</v>
          </cell>
          <cell r="H18">
            <v>0</v>
          </cell>
          <cell r="I18">
            <v>0</v>
          </cell>
          <cell r="J18">
            <v>0</v>
          </cell>
          <cell r="K18">
            <v>2010</v>
          </cell>
          <cell r="M18">
            <v>0</v>
          </cell>
        </row>
        <row r="19">
          <cell r="G19">
            <v>0</v>
          </cell>
          <cell r="H19">
            <v>0</v>
          </cell>
          <cell r="I19">
            <v>0</v>
          </cell>
          <cell r="J19">
            <v>0</v>
          </cell>
          <cell r="K19">
            <v>2011</v>
          </cell>
          <cell r="M19">
            <v>0</v>
          </cell>
        </row>
        <row r="20">
          <cell r="G20">
            <v>0</v>
          </cell>
          <cell r="H20">
            <v>0</v>
          </cell>
          <cell r="I20">
            <v>0</v>
          </cell>
          <cell r="J20">
            <v>0</v>
          </cell>
          <cell r="K20">
            <v>2012</v>
          </cell>
          <cell r="M20">
            <v>0</v>
          </cell>
          <cell r="FQ20">
            <v>2018</v>
          </cell>
          <cell r="FU20" t="str">
            <v>Akumulasi 2018</v>
          </cell>
        </row>
        <row r="21">
          <cell r="G21">
            <v>0</v>
          </cell>
          <cell r="H21">
            <v>0</v>
          </cell>
          <cell r="I21">
            <v>0</v>
          </cell>
          <cell r="J21">
            <v>0</v>
          </cell>
          <cell r="K21">
            <v>2013</v>
          </cell>
          <cell r="M21">
            <v>0</v>
          </cell>
          <cell r="AF21">
            <v>1</v>
          </cell>
          <cell r="FQ21">
            <v>2</v>
          </cell>
          <cell r="FU21">
            <v>2</v>
          </cell>
        </row>
        <row r="22">
          <cell r="G22">
            <v>0</v>
          </cell>
          <cell r="H22">
            <v>0</v>
          </cell>
          <cell r="I22">
            <v>0</v>
          </cell>
          <cell r="J22">
            <v>0</v>
          </cell>
          <cell r="K22">
            <v>2014</v>
          </cell>
          <cell r="M22">
            <v>0</v>
          </cell>
          <cell r="AF22">
            <v>2</v>
          </cell>
          <cell r="FQ22">
            <v>3</v>
          </cell>
          <cell r="FU22">
            <v>5</v>
          </cell>
        </row>
        <row r="23">
          <cell r="G23">
            <v>0</v>
          </cell>
          <cell r="H23">
            <v>0</v>
          </cell>
          <cell r="I23">
            <v>0</v>
          </cell>
          <cell r="J23">
            <v>0</v>
          </cell>
          <cell r="K23">
            <v>2015</v>
          </cell>
          <cell r="M23">
            <v>0</v>
          </cell>
          <cell r="AF23">
            <v>3</v>
          </cell>
          <cell r="FQ23">
            <v>1</v>
          </cell>
          <cell r="FU23">
            <v>6</v>
          </cell>
        </row>
        <row r="24">
          <cell r="G24">
            <v>1</v>
          </cell>
          <cell r="H24">
            <v>0</v>
          </cell>
          <cell r="I24">
            <v>0</v>
          </cell>
          <cell r="J24">
            <v>1</v>
          </cell>
          <cell r="K24">
            <v>2016</v>
          </cell>
          <cell r="M24">
            <v>0.33333333333333331</v>
          </cell>
          <cell r="AF24">
            <v>4</v>
          </cell>
          <cell r="FQ24">
            <v>0</v>
          </cell>
          <cell r="FU24">
            <v>6</v>
          </cell>
        </row>
        <row r="25">
          <cell r="G25">
            <v>1</v>
          </cell>
          <cell r="H25">
            <v>0</v>
          </cell>
          <cell r="I25">
            <v>0</v>
          </cell>
          <cell r="J25">
            <v>0</v>
          </cell>
          <cell r="K25">
            <v>2017</v>
          </cell>
          <cell r="M25">
            <v>0.16666666666666666</v>
          </cell>
          <cell r="AF25">
            <v>5</v>
          </cell>
          <cell r="FQ25">
            <v>0</v>
          </cell>
          <cell r="FU25">
            <v>6</v>
          </cell>
        </row>
        <row r="26">
          <cell r="G26">
            <v>3</v>
          </cell>
          <cell r="H26">
            <v>0</v>
          </cell>
          <cell r="I26">
            <v>0</v>
          </cell>
          <cell r="J26">
            <v>0</v>
          </cell>
          <cell r="K26">
            <v>2018</v>
          </cell>
          <cell r="M26">
            <v>0.5</v>
          </cell>
          <cell r="AF26">
            <v>6</v>
          </cell>
          <cell r="FQ26">
            <v>1</v>
          </cell>
          <cell r="FU26">
            <v>7</v>
          </cell>
        </row>
        <row r="27">
          <cell r="AF27">
            <v>7</v>
          </cell>
          <cell r="FQ27">
            <v>0</v>
          </cell>
          <cell r="FU27">
            <v>7</v>
          </cell>
        </row>
        <row r="28">
          <cell r="AF28">
            <v>8</v>
          </cell>
          <cell r="FQ28">
            <v>0</v>
          </cell>
          <cell r="FU28">
            <v>7</v>
          </cell>
        </row>
        <row r="29">
          <cell r="AF29">
            <v>9</v>
          </cell>
          <cell r="FQ29">
            <v>0</v>
          </cell>
          <cell r="FU29">
            <v>7</v>
          </cell>
        </row>
        <row r="30">
          <cell r="AF30">
            <v>10</v>
          </cell>
          <cell r="FQ30">
            <v>0</v>
          </cell>
          <cell r="FU30">
            <v>7</v>
          </cell>
        </row>
        <row r="31">
          <cell r="AF31">
            <v>11</v>
          </cell>
          <cell r="FQ31">
            <v>0</v>
          </cell>
          <cell r="FU31">
            <v>7</v>
          </cell>
        </row>
        <row r="32">
          <cell r="AF32">
            <v>12</v>
          </cell>
          <cell r="FQ32">
            <v>0</v>
          </cell>
          <cell r="FU32">
            <v>7</v>
          </cell>
        </row>
        <row r="36">
          <cell r="FO36">
            <v>2016</v>
          </cell>
          <cell r="FP36">
            <v>2017</v>
          </cell>
          <cell r="FS36" t="str">
            <v>Akumulasi 2016</v>
          </cell>
          <cell r="FT36" t="str">
            <v>Akumulasi 2017</v>
          </cell>
        </row>
        <row r="37">
          <cell r="FN37">
            <v>1</v>
          </cell>
          <cell r="FS37">
            <v>4</v>
          </cell>
          <cell r="FT37">
            <v>0</v>
          </cell>
          <cell r="FU37">
            <v>3</v>
          </cell>
        </row>
        <row r="38">
          <cell r="FN38">
            <v>2</v>
          </cell>
          <cell r="FS38">
            <v>7</v>
          </cell>
          <cell r="FT38">
            <v>3</v>
          </cell>
          <cell r="FU38">
            <v>3</v>
          </cell>
        </row>
        <row r="39">
          <cell r="FN39">
            <v>3</v>
          </cell>
          <cell r="FS39">
            <v>12</v>
          </cell>
          <cell r="FT39">
            <v>6</v>
          </cell>
          <cell r="FU39">
            <v>3</v>
          </cell>
        </row>
        <row r="40">
          <cell r="FN40">
            <v>4</v>
          </cell>
          <cell r="FS40">
            <v>12</v>
          </cell>
          <cell r="FT40">
            <v>7</v>
          </cell>
          <cell r="FU40">
            <v>4</v>
          </cell>
        </row>
        <row r="41">
          <cell r="FN41">
            <v>5</v>
          </cell>
          <cell r="FS41">
            <v>13</v>
          </cell>
          <cell r="FT41">
            <v>9</v>
          </cell>
          <cell r="FU41">
            <v>5</v>
          </cell>
        </row>
        <row r="42">
          <cell r="FN42">
            <v>6</v>
          </cell>
          <cell r="FS42">
            <v>16</v>
          </cell>
          <cell r="FT42">
            <v>18</v>
          </cell>
          <cell r="FU42">
            <v>5</v>
          </cell>
        </row>
        <row r="43">
          <cell r="FN43">
            <v>7</v>
          </cell>
          <cell r="FS43">
            <v>17</v>
          </cell>
          <cell r="FT43">
            <v>20</v>
          </cell>
          <cell r="FU43">
            <v>7</v>
          </cell>
        </row>
        <row r="44">
          <cell r="FN44">
            <v>8</v>
          </cell>
          <cell r="FS44">
            <v>23</v>
          </cell>
          <cell r="FT44">
            <v>21</v>
          </cell>
          <cell r="FU44">
            <v>7</v>
          </cell>
        </row>
        <row r="45">
          <cell r="FN45">
            <v>9</v>
          </cell>
          <cell r="FS45">
            <v>25</v>
          </cell>
          <cell r="FT45">
            <v>21</v>
          </cell>
          <cell r="FU45">
            <v>7</v>
          </cell>
        </row>
        <row r="46">
          <cell r="FN46">
            <v>10</v>
          </cell>
          <cell r="FS46">
            <v>26</v>
          </cell>
          <cell r="FT46">
            <v>21</v>
          </cell>
          <cell r="FU46">
            <v>7</v>
          </cell>
        </row>
        <row r="47">
          <cell r="FN47">
            <v>11</v>
          </cell>
          <cell r="FS47">
            <v>29</v>
          </cell>
          <cell r="FT47">
            <v>24</v>
          </cell>
          <cell r="FU47">
            <v>7</v>
          </cell>
        </row>
        <row r="48">
          <cell r="FN48">
            <v>12</v>
          </cell>
          <cell r="FS48">
            <v>30</v>
          </cell>
          <cell r="FT48">
            <v>31</v>
          </cell>
          <cell r="FU48">
            <v>7</v>
          </cell>
        </row>
      </sheetData>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ff"/>
      <sheetName val="Old"/>
      <sheetName val="Engineering"/>
      <sheetName val="Information"/>
    </sheetNames>
    <sheetDataSet>
      <sheetData sheetId="0"/>
      <sheetData sheetId="1"/>
      <sheetData sheetId="2"/>
      <sheetData sheetId="3">
        <row r="2">
          <cell r="V2" t="str">
            <v>Settled</v>
          </cell>
          <cell r="W2" t="str">
            <v>Outstanding</v>
          </cell>
        </row>
        <row r="3">
          <cell r="G3" t="str">
            <v>0 Day - 7 Days</v>
          </cell>
          <cell r="H3" t="str">
            <v>7 Days - 14 Days</v>
          </cell>
          <cell r="I3" t="str">
            <v>14 Days - 30 Days</v>
          </cell>
          <cell r="J3" t="str">
            <v>&gt;30 Days</v>
          </cell>
          <cell r="FO3">
            <v>2016</v>
          </cell>
          <cell r="FP3">
            <v>2017</v>
          </cell>
        </row>
        <row r="4">
          <cell r="FO4">
            <v>1</v>
          </cell>
          <cell r="FP4">
            <v>0</v>
          </cell>
          <cell r="FS4">
            <v>1</v>
          </cell>
          <cell r="FT4">
            <v>0</v>
          </cell>
        </row>
        <row r="5">
          <cell r="G5">
            <v>36</v>
          </cell>
          <cell r="H5">
            <v>15</v>
          </cell>
          <cell r="I5">
            <v>0</v>
          </cell>
          <cell r="J5">
            <v>2</v>
          </cell>
          <cell r="FO5">
            <v>6</v>
          </cell>
          <cell r="FP5">
            <v>7</v>
          </cell>
          <cell r="FS5">
            <v>7</v>
          </cell>
          <cell r="FT5">
            <v>7</v>
          </cell>
        </row>
        <row r="6">
          <cell r="FO6">
            <v>4</v>
          </cell>
          <cell r="FP6">
            <v>3</v>
          </cell>
          <cell r="FS6">
            <v>11</v>
          </cell>
          <cell r="FT6">
            <v>10</v>
          </cell>
        </row>
        <row r="7">
          <cell r="FO7">
            <v>4</v>
          </cell>
          <cell r="FP7">
            <v>2</v>
          </cell>
          <cell r="FS7">
            <v>15</v>
          </cell>
          <cell r="FT7">
            <v>12</v>
          </cell>
        </row>
        <row r="8">
          <cell r="FO8">
            <v>1</v>
          </cell>
          <cell r="FP8">
            <v>4</v>
          </cell>
          <cell r="FS8">
            <v>16</v>
          </cell>
          <cell r="FT8">
            <v>16</v>
          </cell>
        </row>
        <row r="9">
          <cell r="V9">
            <v>2</v>
          </cell>
          <cell r="W9">
            <v>0</v>
          </cell>
          <cell r="X9">
            <v>2010</v>
          </cell>
          <cell r="Y9">
            <v>0</v>
          </cell>
          <cell r="Z9">
            <v>2</v>
          </cell>
          <cell r="AA9">
            <v>0</v>
          </cell>
          <cell r="AB9">
            <v>0</v>
          </cell>
          <cell r="FO9">
            <v>0</v>
          </cell>
          <cell r="FP9">
            <v>4</v>
          </cell>
          <cell r="FS9">
            <v>16</v>
          </cell>
          <cell r="FT9">
            <v>20</v>
          </cell>
        </row>
        <row r="10">
          <cell r="V10">
            <v>9</v>
          </cell>
          <cell r="W10">
            <v>0</v>
          </cell>
          <cell r="X10">
            <v>2011</v>
          </cell>
          <cell r="Y10">
            <v>0</v>
          </cell>
          <cell r="Z10">
            <v>0</v>
          </cell>
          <cell r="AA10">
            <v>0</v>
          </cell>
          <cell r="AB10">
            <v>9</v>
          </cell>
          <cell r="FO10">
            <v>0</v>
          </cell>
          <cell r="FP10">
            <v>1</v>
          </cell>
          <cell r="FS10">
            <v>16</v>
          </cell>
          <cell r="FT10">
            <v>21</v>
          </cell>
        </row>
        <row r="11">
          <cell r="V11">
            <v>6</v>
          </cell>
          <cell r="W11">
            <v>0</v>
          </cell>
          <cell r="X11">
            <v>2012</v>
          </cell>
          <cell r="Y11">
            <v>0</v>
          </cell>
          <cell r="Z11">
            <v>0</v>
          </cell>
          <cell r="AA11">
            <v>0</v>
          </cell>
          <cell r="AB11">
            <v>6</v>
          </cell>
          <cell r="FO11">
            <v>1</v>
          </cell>
          <cell r="FP11">
            <v>1</v>
          </cell>
          <cell r="FS11">
            <v>17</v>
          </cell>
          <cell r="FT11">
            <v>22</v>
          </cell>
        </row>
        <row r="12">
          <cell r="V12">
            <v>14</v>
          </cell>
          <cell r="W12">
            <v>2</v>
          </cell>
          <cell r="X12">
            <v>2013</v>
          </cell>
          <cell r="Y12">
            <v>0</v>
          </cell>
          <cell r="Z12">
            <v>0</v>
          </cell>
          <cell r="AA12">
            <v>0</v>
          </cell>
          <cell r="AB12">
            <v>16</v>
          </cell>
          <cell r="FO12">
            <v>2</v>
          </cell>
          <cell r="FP12">
            <v>0</v>
          </cell>
          <cell r="FS12">
            <v>19</v>
          </cell>
          <cell r="FT12">
            <v>22</v>
          </cell>
        </row>
        <row r="13">
          <cell r="V13">
            <v>7</v>
          </cell>
          <cell r="W13">
            <v>0</v>
          </cell>
          <cell r="X13">
            <v>2014</v>
          </cell>
          <cell r="Y13">
            <v>0</v>
          </cell>
          <cell r="Z13">
            <v>2</v>
          </cell>
          <cell r="AA13">
            <v>0</v>
          </cell>
          <cell r="AB13">
            <v>5</v>
          </cell>
          <cell r="FO13">
            <v>0</v>
          </cell>
          <cell r="FP13">
            <v>0</v>
          </cell>
          <cell r="FS13">
            <v>19</v>
          </cell>
          <cell r="FT13">
            <v>22</v>
          </cell>
        </row>
        <row r="14">
          <cell r="V14">
            <v>23</v>
          </cell>
          <cell r="W14">
            <v>13</v>
          </cell>
          <cell r="X14">
            <v>2015</v>
          </cell>
          <cell r="Y14">
            <v>0</v>
          </cell>
          <cell r="Z14">
            <v>3</v>
          </cell>
          <cell r="AA14">
            <v>0</v>
          </cell>
          <cell r="AB14">
            <v>33</v>
          </cell>
          <cell r="FO14">
            <v>1</v>
          </cell>
          <cell r="FP14">
            <v>2</v>
          </cell>
          <cell r="FS14">
            <v>20</v>
          </cell>
          <cell r="FT14">
            <v>24</v>
          </cell>
        </row>
        <row r="15">
          <cell r="V15">
            <v>30</v>
          </cell>
          <cell r="W15">
            <v>11</v>
          </cell>
          <cell r="X15">
            <v>2016</v>
          </cell>
          <cell r="Y15">
            <v>0</v>
          </cell>
          <cell r="Z15">
            <v>2</v>
          </cell>
          <cell r="AA15">
            <v>0</v>
          </cell>
          <cell r="AB15">
            <v>39</v>
          </cell>
          <cell r="FO15">
            <v>0</v>
          </cell>
          <cell r="FP15">
            <v>2</v>
          </cell>
          <cell r="FS15">
            <v>20</v>
          </cell>
          <cell r="FT15">
            <v>26</v>
          </cell>
        </row>
        <row r="16">
          <cell r="V16">
            <v>10</v>
          </cell>
          <cell r="W16">
            <v>15</v>
          </cell>
          <cell r="X16">
            <v>2017</v>
          </cell>
          <cell r="Y16">
            <v>0</v>
          </cell>
          <cell r="Z16">
            <v>12</v>
          </cell>
          <cell r="AA16">
            <v>0</v>
          </cell>
          <cell r="AB16">
            <v>13</v>
          </cell>
        </row>
        <row r="17">
          <cell r="V17">
            <v>3</v>
          </cell>
          <cell r="W17">
            <v>5</v>
          </cell>
          <cell r="X17">
            <v>2018</v>
          </cell>
          <cell r="Y17">
            <v>0</v>
          </cell>
          <cell r="Z17">
            <v>0</v>
          </cell>
          <cell r="AA17">
            <v>0</v>
          </cell>
          <cell r="AB17">
            <v>8</v>
          </cell>
        </row>
        <row r="18">
          <cell r="G18">
            <v>0</v>
          </cell>
          <cell r="H18">
            <v>0</v>
          </cell>
          <cell r="I18">
            <v>0</v>
          </cell>
          <cell r="J18">
            <v>0</v>
          </cell>
          <cell r="K18">
            <v>2010</v>
          </cell>
          <cell r="M18">
            <v>0</v>
          </cell>
        </row>
        <row r="19">
          <cell r="G19">
            <v>0</v>
          </cell>
          <cell r="H19">
            <v>2</v>
          </cell>
          <cell r="I19">
            <v>0</v>
          </cell>
          <cell r="J19">
            <v>0</v>
          </cell>
          <cell r="K19">
            <v>2011</v>
          </cell>
          <cell r="M19">
            <v>3.7735849056603772E-2</v>
          </cell>
        </row>
        <row r="20">
          <cell r="G20">
            <v>0</v>
          </cell>
          <cell r="H20">
            <v>1</v>
          </cell>
          <cell r="I20">
            <v>0</v>
          </cell>
          <cell r="J20">
            <v>0</v>
          </cell>
          <cell r="K20">
            <v>2012</v>
          </cell>
          <cell r="M20">
            <v>1.8867924528301886E-2</v>
          </cell>
          <cell r="FQ20">
            <v>2018</v>
          </cell>
          <cell r="FU20" t="str">
            <v>Akumulasi 2018</v>
          </cell>
        </row>
        <row r="21">
          <cell r="G21">
            <v>2</v>
          </cell>
          <cell r="H21">
            <v>1</v>
          </cell>
          <cell r="I21">
            <v>0</v>
          </cell>
          <cell r="J21">
            <v>0</v>
          </cell>
          <cell r="K21">
            <v>2013</v>
          </cell>
          <cell r="M21">
            <v>5.6603773584905662E-2</v>
          </cell>
          <cell r="AF21">
            <v>1</v>
          </cell>
          <cell r="FQ21">
            <v>2</v>
          </cell>
          <cell r="FU21">
            <v>2</v>
          </cell>
        </row>
        <row r="22">
          <cell r="G22">
            <v>0</v>
          </cell>
          <cell r="H22">
            <v>0</v>
          </cell>
          <cell r="I22">
            <v>0</v>
          </cell>
          <cell r="J22">
            <v>0</v>
          </cell>
          <cell r="K22">
            <v>2014</v>
          </cell>
          <cell r="M22">
            <v>0</v>
          </cell>
          <cell r="AF22">
            <v>2</v>
          </cell>
          <cell r="FQ22">
            <v>0</v>
          </cell>
          <cell r="FU22">
            <v>2</v>
          </cell>
        </row>
        <row r="23">
          <cell r="G23">
            <v>13</v>
          </cell>
          <cell r="H23">
            <v>0</v>
          </cell>
          <cell r="I23">
            <v>0</v>
          </cell>
          <cell r="J23">
            <v>0</v>
          </cell>
          <cell r="K23">
            <v>2015</v>
          </cell>
          <cell r="M23">
            <v>0.24528301886792453</v>
          </cell>
          <cell r="AF23">
            <v>3</v>
          </cell>
          <cell r="FQ23">
            <v>0</v>
          </cell>
          <cell r="FU23">
            <v>2</v>
          </cell>
        </row>
        <row r="24">
          <cell r="G24">
            <v>11</v>
          </cell>
          <cell r="H24">
            <v>0</v>
          </cell>
          <cell r="I24">
            <v>0</v>
          </cell>
          <cell r="J24">
            <v>0</v>
          </cell>
          <cell r="K24">
            <v>2016</v>
          </cell>
          <cell r="M24">
            <v>0.20754716981132076</v>
          </cell>
          <cell r="AF24">
            <v>4</v>
          </cell>
          <cell r="FQ24">
            <v>0</v>
          </cell>
          <cell r="FU24">
            <v>2</v>
          </cell>
        </row>
        <row r="25">
          <cell r="G25">
            <v>8</v>
          </cell>
          <cell r="H25">
            <v>8</v>
          </cell>
          <cell r="I25">
            <v>0</v>
          </cell>
          <cell r="J25">
            <v>1</v>
          </cell>
          <cell r="K25">
            <v>2017</v>
          </cell>
          <cell r="M25">
            <v>0.32075471698113206</v>
          </cell>
          <cell r="AF25">
            <v>5</v>
          </cell>
          <cell r="FQ25">
            <v>0</v>
          </cell>
          <cell r="FU25">
            <v>2</v>
          </cell>
        </row>
        <row r="26">
          <cell r="G26">
            <v>2</v>
          </cell>
          <cell r="H26">
            <v>3</v>
          </cell>
          <cell r="I26">
            <v>0</v>
          </cell>
          <cell r="J26">
            <v>1</v>
          </cell>
          <cell r="K26">
            <v>2018</v>
          </cell>
          <cell r="M26">
            <v>0.11320754716981132</v>
          </cell>
          <cell r="AF26">
            <v>6</v>
          </cell>
          <cell r="FQ26">
            <v>0</v>
          </cell>
          <cell r="FU26">
            <v>2</v>
          </cell>
        </row>
        <row r="27">
          <cell r="AF27">
            <v>7</v>
          </cell>
          <cell r="FQ27">
            <v>0</v>
          </cell>
          <cell r="FU27">
            <v>2</v>
          </cell>
        </row>
        <row r="28">
          <cell r="AF28">
            <v>8</v>
          </cell>
          <cell r="FQ28">
            <v>0</v>
          </cell>
          <cell r="FU28">
            <v>2</v>
          </cell>
        </row>
        <row r="29">
          <cell r="AF29">
            <v>9</v>
          </cell>
          <cell r="FQ29">
            <v>0</v>
          </cell>
          <cell r="FU29">
            <v>2</v>
          </cell>
        </row>
        <row r="30">
          <cell r="AF30">
            <v>10</v>
          </cell>
          <cell r="FQ30">
            <v>0</v>
          </cell>
          <cell r="FU30">
            <v>2</v>
          </cell>
        </row>
        <row r="31">
          <cell r="AF31">
            <v>11</v>
          </cell>
          <cell r="FQ31">
            <v>0</v>
          </cell>
          <cell r="FU31">
            <v>2</v>
          </cell>
        </row>
        <row r="32">
          <cell r="AF32">
            <v>12</v>
          </cell>
          <cell r="FQ32">
            <v>0</v>
          </cell>
          <cell r="FU32">
            <v>2</v>
          </cell>
        </row>
        <row r="36">
          <cell r="FO36">
            <v>2016</v>
          </cell>
          <cell r="FP36">
            <v>2017</v>
          </cell>
          <cell r="FQ36">
            <v>2018</v>
          </cell>
          <cell r="FS36" t="str">
            <v>Akumulasi 2016</v>
          </cell>
          <cell r="FT36" t="str">
            <v>Akumulasi 2017</v>
          </cell>
        </row>
        <row r="37">
          <cell r="FN37">
            <v>1</v>
          </cell>
          <cell r="FS37">
            <v>0</v>
          </cell>
          <cell r="FT37">
            <v>1</v>
          </cell>
          <cell r="FU37">
            <v>1</v>
          </cell>
        </row>
        <row r="38">
          <cell r="FN38">
            <v>2</v>
          </cell>
          <cell r="FS38">
            <v>0</v>
          </cell>
          <cell r="FT38">
            <v>18</v>
          </cell>
          <cell r="FU38">
            <v>7</v>
          </cell>
        </row>
        <row r="39">
          <cell r="FN39">
            <v>3</v>
          </cell>
          <cell r="FS39">
            <v>2</v>
          </cell>
          <cell r="FT39">
            <v>20</v>
          </cell>
          <cell r="FU39">
            <v>9</v>
          </cell>
        </row>
        <row r="40">
          <cell r="FN40">
            <v>4</v>
          </cell>
          <cell r="FS40">
            <v>3</v>
          </cell>
          <cell r="FT40">
            <v>29</v>
          </cell>
          <cell r="FU40">
            <v>12</v>
          </cell>
        </row>
        <row r="41">
          <cell r="FN41">
            <v>5</v>
          </cell>
          <cell r="FS41">
            <v>4</v>
          </cell>
          <cell r="FT41">
            <v>33</v>
          </cell>
          <cell r="FU41">
            <v>12</v>
          </cell>
        </row>
        <row r="42">
          <cell r="FN42">
            <v>6</v>
          </cell>
          <cell r="FS42">
            <v>6</v>
          </cell>
          <cell r="FT42">
            <v>33</v>
          </cell>
          <cell r="FU42">
            <v>13</v>
          </cell>
        </row>
        <row r="43">
          <cell r="FN43">
            <v>7</v>
          </cell>
          <cell r="FS43">
            <v>9</v>
          </cell>
          <cell r="FT43">
            <v>38</v>
          </cell>
          <cell r="FU43">
            <v>13</v>
          </cell>
        </row>
        <row r="44">
          <cell r="FN44">
            <v>8</v>
          </cell>
          <cell r="FS44">
            <v>10</v>
          </cell>
          <cell r="FT44">
            <v>41</v>
          </cell>
          <cell r="FU44">
            <v>13</v>
          </cell>
        </row>
        <row r="45">
          <cell r="FN45">
            <v>9</v>
          </cell>
          <cell r="FS45">
            <v>12</v>
          </cell>
          <cell r="FT45">
            <v>43</v>
          </cell>
          <cell r="FU45">
            <v>13</v>
          </cell>
        </row>
        <row r="46">
          <cell r="FN46">
            <v>10</v>
          </cell>
          <cell r="FS46">
            <v>16</v>
          </cell>
          <cell r="FT46">
            <v>45</v>
          </cell>
          <cell r="FU46">
            <v>13</v>
          </cell>
        </row>
        <row r="47">
          <cell r="FN47">
            <v>11</v>
          </cell>
          <cell r="FS47">
            <v>18</v>
          </cell>
          <cell r="FT47">
            <v>46</v>
          </cell>
          <cell r="FU47">
            <v>13</v>
          </cell>
        </row>
        <row r="48">
          <cell r="FN48">
            <v>12</v>
          </cell>
          <cell r="FS48">
            <v>18</v>
          </cell>
          <cell r="FT48">
            <v>46</v>
          </cell>
          <cell r="FU48">
            <v>13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287"/>
  <sheetViews>
    <sheetView showGridLines="0" tabSelected="1" view="pageLayout" topLeftCell="A3" zoomScale="85" zoomScaleNormal="100" zoomScaleSheetLayoutView="100" zoomScalePageLayoutView="85" workbookViewId="0">
      <selection activeCell="L4" sqref="L4"/>
    </sheetView>
  </sheetViews>
  <sheetFormatPr defaultColWidth="9.109375" defaultRowHeight="14.4" x14ac:dyDescent="0.3"/>
  <cols>
    <col min="1" max="1" width="13.6640625" style="1" customWidth="1"/>
    <col min="2" max="10" width="8.5546875" style="1" customWidth="1"/>
    <col min="11" max="22" width="9.109375" style="1"/>
    <col min="23" max="23" width="11" style="1" customWidth="1"/>
    <col min="24" max="43" width="9.109375" style="1"/>
    <col min="46" max="262" width="9.109375" style="1"/>
    <col min="263" max="263" width="14.5546875" style="1" customWidth="1"/>
    <col min="264" max="264" width="15.5546875" style="1" customWidth="1"/>
    <col min="265" max="265" width="16.5546875" style="1" customWidth="1"/>
    <col min="266" max="266" width="11.33203125" style="1" customWidth="1"/>
    <col min="267" max="278" width="9.109375" style="1"/>
    <col min="279" max="279" width="11" style="1" customWidth="1"/>
    <col min="280" max="518" width="9.109375" style="1"/>
    <col min="519" max="519" width="14.5546875" style="1" customWidth="1"/>
    <col min="520" max="520" width="15.5546875" style="1" customWidth="1"/>
    <col min="521" max="521" width="16.5546875" style="1" customWidth="1"/>
    <col min="522" max="522" width="11.33203125" style="1" customWidth="1"/>
    <col min="523" max="534" width="9.109375" style="1"/>
    <col min="535" max="535" width="11" style="1" customWidth="1"/>
    <col min="536" max="774" width="9.109375" style="1"/>
    <col min="775" max="775" width="14.5546875" style="1" customWidth="1"/>
    <col min="776" max="776" width="15.5546875" style="1" customWidth="1"/>
    <col min="777" max="777" width="16.5546875" style="1" customWidth="1"/>
    <col min="778" max="778" width="11.33203125" style="1" customWidth="1"/>
    <col min="779" max="790" width="9.109375" style="1"/>
    <col min="791" max="791" width="11" style="1" customWidth="1"/>
    <col min="792" max="1030" width="9.109375" style="1"/>
    <col min="1031" max="1031" width="14.5546875" style="1" customWidth="1"/>
    <col min="1032" max="1032" width="15.5546875" style="1" customWidth="1"/>
    <col min="1033" max="1033" width="16.5546875" style="1" customWidth="1"/>
    <col min="1034" max="1034" width="11.33203125" style="1" customWidth="1"/>
    <col min="1035" max="1046" width="9.109375" style="1"/>
    <col min="1047" max="1047" width="11" style="1" customWidth="1"/>
    <col min="1048" max="1286" width="9.109375" style="1"/>
    <col min="1287" max="1287" width="14.5546875" style="1" customWidth="1"/>
    <col min="1288" max="1288" width="15.5546875" style="1" customWidth="1"/>
    <col min="1289" max="1289" width="16.5546875" style="1" customWidth="1"/>
    <col min="1290" max="1290" width="11.33203125" style="1" customWidth="1"/>
    <col min="1291" max="1302" width="9.109375" style="1"/>
    <col min="1303" max="1303" width="11" style="1" customWidth="1"/>
    <col min="1304" max="1542" width="9.109375" style="1"/>
    <col min="1543" max="1543" width="14.5546875" style="1" customWidth="1"/>
    <col min="1544" max="1544" width="15.5546875" style="1" customWidth="1"/>
    <col min="1545" max="1545" width="16.5546875" style="1" customWidth="1"/>
    <col min="1546" max="1546" width="11.33203125" style="1" customWidth="1"/>
    <col min="1547" max="1558" width="9.109375" style="1"/>
    <col min="1559" max="1559" width="11" style="1" customWidth="1"/>
    <col min="1560" max="1798" width="9.109375" style="1"/>
    <col min="1799" max="1799" width="14.5546875" style="1" customWidth="1"/>
    <col min="1800" max="1800" width="15.5546875" style="1" customWidth="1"/>
    <col min="1801" max="1801" width="16.5546875" style="1" customWidth="1"/>
    <col min="1802" max="1802" width="11.33203125" style="1" customWidth="1"/>
    <col min="1803" max="1814" width="9.109375" style="1"/>
    <col min="1815" max="1815" width="11" style="1" customWidth="1"/>
    <col min="1816" max="2054" width="9.109375" style="1"/>
    <col min="2055" max="2055" width="14.5546875" style="1" customWidth="1"/>
    <col min="2056" max="2056" width="15.5546875" style="1" customWidth="1"/>
    <col min="2057" max="2057" width="16.5546875" style="1" customWidth="1"/>
    <col min="2058" max="2058" width="11.33203125" style="1" customWidth="1"/>
    <col min="2059" max="2070" width="9.109375" style="1"/>
    <col min="2071" max="2071" width="11" style="1" customWidth="1"/>
    <col min="2072" max="2310" width="9.109375" style="1"/>
    <col min="2311" max="2311" width="14.5546875" style="1" customWidth="1"/>
    <col min="2312" max="2312" width="15.5546875" style="1" customWidth="1"/>
    <col min="2313" max="2313" width="16.5546875" style="1" customWidth="1"/>
    <col min="2314" max="2314" width="11.33203125" style="1" customWidth="1"/>
    <col min="2315" max="2326" width="9.109375" style="1"/>
    <col min="2327" max="2327" width="11" style="1" customWidth="1"/>
    <col min="2328" max="2566" width="9.109375" style="1"/>
    <col min="2567" max="2567" width="14.5546875" style="1" customWidth="1"/>
    <col min="2568" max="2568" width="15.5546875" style="1" customWidth="1"/>
    <col min="2569" max="2569" width="16.5546875" style="1" customWidth="1"/>
    <col min="2570" max="2570" width="11.33203125" style="1" customWidth="1"/>
    <col min="2571" max="2582" width="9.109375" style="1"/>
    <col min="2583" max="2583" width="11" style="1" customWidth="1"/>
    <col min="2584" max="2822" width="9.109375" style="1"/>
    <col min="2823" max="2823" width="14.5546875" style="1" customWidth="1"/>
    <col min="2824" max="2824" width="15.5546875" style="1" customWidth="1"/>
    <col min="2825" max="2825" width="16.5546875" style="1" customWidth="1"/>
    <col min="2826" max="2826" width="11.33203125" style="1" customWidth="1"/>
    <col min="2827" max="2838" width="9.109375" style="1"/>
    <col min="2839" max="2839" width="11" style="1" customWidth="1"/>
    <col min="2840" max="3078" width="9.109375" style="1"/>
    <col min="3079" max="3079" width="14.5546875" style="1" customWidth="1"/>
    <col min="3080" max="3080" width="15.5546875" style="1" customWidth="1"/>
    <col min="3081" max="3081" width="16.5546875" style="1" customWidth="1"/>
    <col min="3082" max="3082" width="11.33203125" style="1" customWidth="1"/>
    <col min="3083" max="3094" width="9.109375" style="1"/>
    <col min="3095" max="3095" width="11" style="1" customWidth="1"/>
    <col min="3096" max="3334" width="9.109375" style="1"/>
    <col min="3335" max="3335" width="14.5546875" style="1" customWidth="1"/>
    <col min="3336" max="3336" width="15.5546875" style="1" customWidth="1"/>
    <col min="3337" max="3337" width="16.5546875" style="1" customWidth="1"/>
    <col min="3338" max="3338" width="11.33203125" style="1" customWidth="1"/>
    <col min="3339" max="3350" width="9.109375" style="1"/>
    <col min="3351" max="3351" width="11" style="1" customWidth="1"/>
    <col min="3352" max="3590" width="9.109375" style="1"/>
    <col min="3591" max="3591" width="14.5546875" style="1" customWidth="1"/>
    <col min="3592" max="3592" width="15.5546875" style="1" customWidth="1"/>
    <col min="3593" max="3593" width="16.5546875" style="1" customWidth="1"/>
    <col min="3594" max="3594" width="11.33203125" style="1" customWidth="1"/>
    <col min="3595" max="3606" width="9.109375" style="1"/>
    <col min="3607" max="3607" width="11" style="1" customWidth="1"/>
    <col min="3608" max="3846" width="9.109375" style="1"/>
    <col min="3847" max="3847" width="14.5546875" style="1" customWidth="1"/>
    <col min="3848" max="3848" width="15.5546875" style="1" customWidth="1"/>
    <col min="3849" max="3849" width="16.5546875" style="1" customWidth="1"/>
    <col min="3850" max="3850" width="11.33203125" style="1" customWidth="1"/>
    <col min="3851" max="3862" width="9.109375" style="1"/>
    <col min="3863" max="3863" width="11" style="1" customWidth="1"/>
    <col min="3864" max="4102" width="9.109375" style="1"/>
    <col min="4103" max="4103" width="14.5546875" style="1" customWidth="1"/>
    <col min="4104" max="4104" width="15.5546875" style="1" customWidth="1"/>
    <col min="4105" max="4105" width="16.5546875" style="1" customWidth="1"/>
    <col min="4106" max="4106" width="11.33203125" style="1" customWidth="1"/>
    <col min="4107" max="4118" width="9.109375" style="1"/>
    <col min="4119" max="4119" width="11" style="1" customWidth="1"/>
    <col min="4120" max="4358" width="9.109375" style="1"/>
    <col min="4359" max="4359" width="14.5546875" style="1" customWidth="1"/>
    <col min="4360" max="4360" width="15.5546875" style="1" customWidth="1"/>
    <col min="4361" max="4361" width="16.5546875" style="1" customWidth="1"/>
    <col min="4362" max="4362" width="11.33203125" style="1" customWidth="1"/>
    <col min="4363" max="4374" width="9.109375" style="1"/>
    <col min="4375" max="4375" width="11" style="1" customWidth="1"/>
    <col min="4376" max="4614" width="9.109375" style="1"/>
    <col min="4615" max="4615" width="14.5546875" style="1" customWidth="1"/>
    <col min="4616" max="4616" width="15.5546875" style="1" customWidth="1"/>
    <col min="4617" max="4617" width="16.5546875" style="1" customWidth="1"/>
    <col min="4618" max="4618" width="11.33203125" style="1" customWidth="1"/>
    <col min="4619" max="4630" width="9.109375" style="1"/>
    <col min="4631" max="4631" width="11" style="1" customWidth="1"/>
    <col min="4632" max="4870" width="9.109375" style="1"/>
    <col min="4871" max="4871" width="14.5546875" style="1" customWidth="1"/>
    <col min="4872" max="4872" width="15.5546875" style="1" customWidth="1"/>
    <col min="4873" max="4873" width="16.5546875" style="1" customWidth="1"/>
    <col min="4874" max="4874" width="11.33203125" style="1" customWidth="1"/>
    <col min="4875" max="4886" width="9.109375" style="1"/>
    <col min="4887" max="4887" width="11" style="1" customWidth="1"/>
    <col min="4888" max="5126" width="9.109375" style="1"/>
    <col min="5127" max="5127" width="14.5546875" style="1" customWidth="1"/>
    <col min="5128" max="5128" width="15.5546875" style="1" customWidth="1"/>
    <col min="5129" max="5129" width="16.5546875" style="1" customWidth="1"/>
    <col min="5130" max="5130" width="11.33203125" style="1" customWidth="1"/>
    <col min="5131" max="5142" width="9.109375" style="1"/>
    <col min="5143" max="5143" width="11" style="1" customWidth="1"/>
    <col min="5144" max="5382" width="9.109375" style="1"/>
    <col min="5383" max="5383" width="14.5546875" style="1" customWidth="1"/>
    <col min="5384" max="5384" width="15.5546875" style="1" customWidth="1"/>
    <col min="5385" max="5385" width="16.5546875" style="1" customWidth="1"/>
    <col min="5386" max="5386" width="11.33203125" style="1" customWidth="1"/>
    <col min="5387" max="5398" width="9.109375" style="1"/>
    <col min="5399" max="5399" width="11" style="1" customWidth="1"/>
    <col min="5400" max="5638" width="9.109375" style="1"/>
    <col min="5639" max="5639" width="14.5546875" style="1" customWidth="1"/>
    <col min="5640" max="5640" width="15.5546875" style="1" customWidth="1"/>
    <col min="5641" max="5641" width="16.5546875" style="1" customWidth="1"/>
    <col min="5642" max="5642" width="11.33203125" style="1" customWidth="1"/>
    <col min="5643" max="5654" width="9.109375" style="1"/>
    <col min="5655" max="5655" width="11" style="1" customWidth="1"/>
    <col min="5656" max="5894" width="9.109375" style="1"/>
    <col min="5895" max="5895" width="14.5546875" style="1" customWidth="1"/>
    <col min="5896" max="5896" width="15.5546875" style="1" customWidth="1"/>
    <col min="5897" max="5897" width="16.5546875" style="1" customWidth="1"/>
    <col min="5898" max="5898" width="11.33203125" style="1" customWidth="1"/>
    <col min="5899" max="5910" width="9.109375" style="1"/>
    <col min="5911" max="5911" width="11" style="1" customWidth="1"/>
    <col min="5912" max="6150" width="9.109375" style="1"/>
    <col min="6151" max="6151" width="14.5546875" style="1" customWidth="1"/>
    <col min="6152" max="6152" width="15.5546875" style="1" customWidth="1"/>
    <col min="6153" max="6153" width="16.5546875" style="1" customWidth="1"/>
    <col min="6154" max="6154" width="11.33203125" style="1" customWidth="1"/>
    <col min="6155" max="6166" width="9.109375" style="1"/>
    <col min="6167" max="6167" width="11" style="1" customWidth="1"/>
    <col min="6168" max="6406" width="9.109375" style="1"/>
    <col min="6407" max="6407" width="14.5546875" style="1" customWidth="1"/>
    <col min="6408" max="6408" width="15.5546875" style="1" customWidth="1"/>
    <col min="6409" max="6409" width="16.5546875" style="1" customWidth="1"/>
    <col min="6410" max="6410" width="11.33203125" style="1" customWidth="1"/>
    <col min="6411" max="6422" width="9.109375" style="1"/>
    <col min="6423" max="6423" width="11" style="1" customWidth="1"/>
    <col min="6424" max="6662" width="9.109375" style="1"/>
    <col min="6663" max="6663" width="14.5546875" style="1" customWidth="1"/>
    <col min="6664" max="6664" width="15.5546875" style="1" customWidth="1"/>
    <col min="6665" max="6665" width="16.5546875" style="1" customWidth="1"/>
    <col min="6666" max="6666" width="11.33203125" style="1" customWidth="1"/>
    <col min="6667" max="6678" width="9.109375" style="1"/>
    <col min="6679" max="6679" width="11" style="1" customWidth="1"/>
    <col min="6680" max="6918" width="9.109375" style="1"/>
    <col min="6919" max="6919" width="14.5546875" style="1" customWidth="1"/>
    <col min="6920" max="6920" width="15.5546875" style="1" customWidth="1"/>
    <col min="6921" max="6921" width="16.5546875" style="1" customWidth="1"/>
    <col min="6922" max="6922" width="11.33203125" style="1" customWidth="1"/>
    <col min="6923" max="6934" width="9.109375" style="1"/>
    <col min="6935" max="6935" width="11" style="1" customWidth="1"/>
    <col min="6936" max="7174" width="9.109375" style="1"/>
    <col min="7175" max="7175" width="14.5546875" style="1" customWidth="1"/>
    <col min="7176" max="7176" width="15.5546875" style="1" customWidth="1"/>
    <col min="7177" max="7177" width="16.5546875" style="1" customWidth="1"/>
    <col min="7178" max="7178" width="11.33203125" style="1" customWidth="1"/>
    <col min="7179" max="7190" width="9.109375" style="1"/>
    <col min="7191" max="7191" width="11" style="1" customWidth="1"/>
    <col min="7192" max="7430" width="9.109375" style="1"/>
    <col min="7431" max="7431" width="14.5546875" style="1" customWidth="1"/>
    <col min="7432" max="7432" width="15.5546875" style="1" customWidth="1"/>
    <col min="7433" max="7433" width="16.5546875" style="1" customWidth="1"/>
    <col min="7434" max="7434" width="11.33203125" style="1" customWidth="1"/>
    <col min="7435" max="7446" width="9.109375" style="1"/>
    <col min="7447" max="7447" width="11" style="1" customWidth="1"/>
    <col min="7448" max="7686" width="9.109375" style="1"/>
    <col min="7687" max="7687" width="14.5546875" style="1" customWidth="1"/>
    <col min="7688" max="7688" width="15.5546875" style="1" customWidth="1"/>
    <col min="7689" max="7689" width="16.5546875" style="1" customWidth="1"/>
    <col min="7690" max="7690" width="11.33203125" style="1" customWidth="1"/>
    <col min="7691" max="7702" width="9.109375" style="1"/>
    <col min="7703" max="7703" width="11" style="1" customWidth="1"/>
    <col min="7704" max="7942" width="9.109375" style="1"/>
    <col min="7943" max="7943" width="14.5546875" style="1" customWidth="1"/>
    <col min="7944" max="7944" width="15.5546875" style="1" customWidth="1"/>
    <col min="7945" max="7945" width="16.5546875" style="1" customWidth="1"/>
    <col min="7946" max="7946" width="11.33203125" style="1" customWidth="1"/>
    <col min="7947" max="7958" width="9.109375" style="1"/>
    <col min="7959" max="7959" width="11" style="1" customWidth="1"/>
    <col min="7960" max="8198" width="9.109375" style="1"/>
    <col min="8199" max="8199" width="14.5546875" style="1" customWidth="1"/>
    <col min="8200" max="8200" width="15.5546875" style="1" customWidth="1"/>
    <col min="8201" max="8201" width="16.5546875" style="1" customWidth="1"/>
    <col min="8202" max="8202" width="11.33203125" style="1" customWidth="1"/>
    <col min="8203" max="8214" width="9.109375" style="1"/>
    <col min="8215" max="8215" width="11" style="1" customWidth="1"/>
    <col min="8216" max="8454" width="9.109375" style="1"/>
    <col min="8455" max="8455" width="14.5546875" style="1" customWidth="1"/>
    <col min="8456" max="8456" width="15.5546875" style="1" customWidth="1"/>
    <col min="8457" max="8457" width="16.5546875" style="1" customWidth="1"/>
    <col min="8458" max="8458" width="11.33203125" style="1" customWidth="1"/>
    <col min="8459" max="8470" width="9.109375" style="1"/>
    <col min="8471" max="8471" width="11" style="1" customWidth="1"/>
    <col min="8472" max="8710" width="9.109375" style="1"/>
    <col min="8711" max="8711" width="14.5546875" style="1" customWidth="1"/>
    <col min="8712" max="8712" width="15.5546875" style="1" customWidth="1"/>
    <col min="8713" max="8713" width="16.5546875" style="1" customWidth="1"/>
    <col min="8714" max="8714" width="11.33203125" style="1" customWidth="1"/>
    <col min="8715" max="8726" width="9.109375" style="1"/>
    <col min="8727" max="8727" width="11" style="1" customWidth="1"/>
    <col min="8728" max="8966" width="9.109375" style="1"/>
    <col min="8967" max="8967" width="14.5546875" style="1" customWidth="1"/>
    <col min="8968" max="8968" width="15.5546875" style="1" customWidth="1"/>
    <col min="8969" max="8969" width="16.5546875" style="1" customWidth="1"/>
    <col min="8970" max="8970" width="11.33203125" style="1" customWidth="1"/>
    <col min="8971" max="8982" width="9.109375" style="1"/>
    <col min="8983" max="8983" width="11" style="1" customWidth="1"/>
    <col min="8984" max="9222" width="9.109375" style="1"/>
    <col min="9223" max="9223" width="14.5546875" style="1" customWidth="1"/>
    <col min="9224" max="9224" width="15.5546875" style="1" customWidth="1"/>
    <col min="9225" max="9225" width="16.5546875" style="1" customWidth="1"/>
    <col min="9226" max="9226" width="11.33203125" style="1" customWidth="1"/>
    <col min="9227" max="9238" width="9.109375" style="1"/>
    <col min="9239" max="9239" width="11" style="1" customWidth="1"/>
    <col min="9240" max="9478" width="9.109375" style="1"/>
    <col min="9479" max="9479" width="14.5546875" style="1" customWidth="1"/>
    <col min="9480" max="9480" width="15.5546875" style="1" customWidth="1"/>
    <col min="9481" max="9481" width="16.5546875" style="1" customWidth="1"/>
    <col min="9482" max="9482" width="11.33203125" style="1" customWidth="1"/>
    <col min="9483" max="9494" width="9.109375" style="1"/>
    <col min="9495" max="9495" width="11" style="1" customWidth="1"/>
    <col min="9496" max="9734" width="9.109375" style="1"/>
    <col min="9735" max="9735" width="14.5546875" style="1" customWidth="1"/>
    <col min="9736" max="9736" width="15.5546875" style="1" customWidth="1"/>
    <col min="9737" max="9737" width="16.5546875" style="1" customWidth="1"/>
    <col min="9738" max="9738" width="11.33203125" style="1" customWidth="1"/>
    <col min="9739" max="9750" width="9.109375" style="1"/>
    <col min="9751" max="9751" width="11" style="1" customWidth="1"/>
    <col min="9752" max="9990" width="9.109375" style="1"/>
    <col min="9991" max="9991" width="14.5546875" style="1" customWidth="1"/>
    <col min="9992" max="9992" width="15.5546875" style="1" customWidth="1"/>
    <col min="9993" max="9993" width="16.5546875" style="1" customWidth="1"/>
    <col min="9994" max="9994" width="11.33203125" style="1" customWidth="1"/>
    <col min="9995" max="10006" width="9.109375" style="1"/>
    <col min="10007" max="10007" width="11" style="1" customWidth="1"/>
    <col min="10008" max="10246" width="9.109375" style="1"/>
    <col min="10247" max="10247" width="14.5546875" style="1" customWidth="1"/>
    <col min="10248" max="10248" width="15.5546875" style="1" customWidth="1"/>
    <col min="10249" max="10249" width="16.5546875" style="1" customWidth="1"/>
    <col min="10250" max="10250" width="11.33203125" style="1" customWidth="1"/>
    <col min="10251" max="10262" width="9.109375" style="1"/>
    <col min="10263" max="10263" width="11" style="1" customWidth="1"/>
    <col min="10264" max="10502" width="9.109375" style="1"/>
    <col min="10503" max="10503" width="14.5546875" style="1" customWidth="1"/>
    <col min="10504" max="10504" width="15.5546875" style="1" customWidth="1"/>
    <col min="10505" max="10505" width="16.5546875" style="1" customWidth="1"/>
    <col min="10506" max="10506" width="11.33203125" style="1" customWidth="1"/>
    <col min="10507" max="10518" width="9.109375" style="1"/>
    <col min="10519" max="10519" width="11" style="1" customWidth="1"/>
    <col min="10520" max="10758" width="9.109375" style="1"/>
    <col min="10759" max="10759" width="14.5546875" style="1" customWidth="1"/>
    <col min="10760" max="10760" width="15.5546875" style="1" customWidth="1"/>
    <col min="10761" max="10761" width="16.5546875" style="1" customWidth="1"/>
    <col min="10762" max="10762" width="11.33203125" style="1" customWidth="1"/>
    <col min="10763" max="10774" width="9.109375" style="1"/>
    <col min="10775" max="10775" width="11" style="1" customWidth="1"/>
    <col min="10776" max="11014" width="9.109375" style="1"/>
    <col min="11015" max="11015" width="14.5546875" style="1" customWidth="1"/>
    <col min="11016" max="11016" width="15.5546875" style="1" customWidth="1"/>
    <col min="11017" max="11017" width="16.5546875" style="1" customWidth="1"/>
    <col min="11018" max="11018" width="11.33203125" style="1" customWidth="1"/>
    <col min="11019" max="11030" width="9.109375" style="1"/>
    <col min="11031" max="11031" width="11" style="1" customWidth="1"/>
    <col min="11032" max="11270" width="9.109375" style="1"/>
    <col min="11271" max="11271" width="14.5546875" style="1" customWidth="1"/>
    <col min="11272" max="11272" width="15.5546875" style="1" customWidth="1"/>
    <col min="11273" max="11273" width="16.5546875" style="1" customWidth="1"/>
    <col min="11274" max="11274" width="11.33203125" style="1" customWidth="1"/>
    <col min="11275" max="11286" width="9.109375" style="1"/>
    <col min="11287" max="11287" width="11" style="1" customWidth="1"/>
    <col min="11288" max="11526" width="9.109375" style="1"/>
    <col min="11527" max="11527" width="14.5546875" style="1" customWidth="1"/>
    <col min="11528" max="11528" width="15.5546875" style="1" customWidth="1"/>
    <col min="11529" max="11529" width="16.5546875" style="1" customWidth="1"/>
    <col min="11530" max="11530" width="11.33203125" style="1" customWidth="1"/>
    <col min="11531" max="11542" width="9.109375" style="1"/>
    <col min="11543" max="11543" width="11" style="1" customWidth="1"/>
    <col min="11544" max="11782" width="9.109375" style="1"/>
    <col min="11783" max="11783" width="14.5546875" style="1" customWidth="1"/>
    <col min="11784" max="11784" width="15.5546875" style="1" customWidth="1"/>
    <col min="11785" max="11785" width="16.5546875" style="1" customWidth="1"/>
    <col min="11786" max="11786" width="11.33203125" style="1" customWidth="1"/>
    <col min="11787" max="11798" width="9.109375" style="1"/>
    <col min="11799" max="11799" width="11" style="1" customWidth="1"/>
    <col min="11800" max="12038" width="9.109375" style="1"/>
    <col min="12039" max="12039" width="14.5546875" style="1" customWidth="1"/>
    <col min="12040" max="12040" width="15.5546875" style="1" customWidth="1"/>
    <col min="12041" max="12041" width="16.5546875" style="1" customWidth="1"/>
    <col min="12042" max="12042" width="11.33203125" style="1" customWidth="1"/>
    <col min="12043" max="12054" width="9.109375" style="1"/>
    <col min="12055" max="12055" width="11" style="1" customWidth="1"/>
    <col min="12056" max="12294" width="9.109375" style="1"/>
    <col min="12295" max="12295" width="14.5546875" style="1" customWidth="1"/>
    <col min="12296" max="12296" width="15.5546875" style="1" customWidth="1"/>
    <col min="12297" max="12297" width="16.5546875" style="1" customWidth="1"/>
    <col min="12298" max="12298" width="11.33203125" style="1" customWidth="1"/>
    <col min="12299" max="12310" width="9.109375" style="1"/>
    <col min="12311" max="12311" width="11" style="1" customWidth="1"/>
    <col min="12312" max="12550" width="9.109375" style="1"/>
    <col min="12551" max="12551" width="14.5546875" style="1" customWidth="1"/>
    <col min="12552" max="12552" width="15.5546875" style="1" customWidth="1"/>
    <col min="12553" max="12553" width="16.5546875" style="1" customWidth="1"/>
    <col min="12554" max="12554" width="11.33203125" style="1" customWidth="1"/>
    <col min="12555" max="12566" width="9.109375" style="1"/>
    <col min="12567" max="12567" width="11" style="1" customWidth="1"/>
    <col min="12568" max="12806" width="9.109375" style="1"/>
    <col min="12807" max="12807" width="14.5546875" style="1" customWidth="1"/>
    <col min="12808" max="12808" width="15.5546875" style="1" customWidth="1"/>
    <col min="12809" max="12809" width="16.5546875" style="1" customWidth="1"/>
    <col min="12810" max="12810" width="11.33203125" style="1" customWidth="1"/>
    <col min="12811" max="12822" width="9.109375" style="1"/>
    <col min="12823" max="12823" width="11" style="1" customWidth="1"/>
    <col min="12824" max="13062" width="9.109375" style="1"/>
    <col min="13063" max="13063" width="14.5546875" style="1" customWidth="1"/>
    <col min="13064" max="13064" width="15.5546875" style="1" customWidth="1"/>
    <col min="13065" max="13065" width="16.5546875" style="1" customWidth="1"/>
    <col min="13066" max="13066" width="11.33203125" style="1" customWidth="1"/>
    <col min="13067" max="13078" width="9.109375" style="1"/>
    <col min="13079" max="13079" width="11" style="1" customWidth="1"/>
    <col min="13080" max="13318" width="9.109375" style="1"/>
    <col min="13319" max="13319" width="14.5546875" style="1" customWidth="1"/>
    <col min="13320" max="13320" width="15.5546875" style="1" customWidth="1"/>
    <col min="13321" max="13321" width="16.5546875" style="1" customWidth="1"/>
    <col min="13322" max="13322" width="11.33203125" style="1" customWidth="1"/>
    <col min="13323" max="13334" width="9.109375" style="1"/>
    <col min="13335" max="13335" width="11" style="1" customWidth="1"/>
    <col min="13336" max="13574" width="9.109375" style="1"/>
    <col min="13575" max="13575" width="14.5546875" style="1" customWidth="1"/>
    <col min="13576" max="13576" width="15.5546875" style="1" customWidth="1"/>
    <col min="13577" max="13577" width="16.5546875" style="1" customWidth="1"/>
    <col min="13578" max="13578" width="11.33203125" style="1" customWidth="1"/>
    <col min="13579" max="13590" width="9.109375" style="1"/>
    <col min="13591" max="13591" width="11" style="1" customWidth="1"/>
    <col min="13592" max="13830" width="9.109375" style="1"/>
    <col min="13831" max="13831" width="14.5546875" style="1" customWidth="1"/>
    <col min="13832" max="13832" width="15.5546875" style="1" customWidth="1"/>
    <col min="13833" max="13833" width="16.5546875" style="1" customWidth="1"/>
    <col min="13834" max="13834" width="11.33203125" style="1" customWidth="1"/>
    <col min="13835" max="13846" width="9.109375" style="1"/>
    <col min="13847" max="13847" width="11" style="1" customWidth="1"/>
    <col min="13848" max="14086" width="9.109375" style="1"/>
    <col min="14087" max="14087" width="14.5546875" style="1" customWidth="1"/>
    <col min="14088" max="14088" width="15.5546875" style="1" customWidth="1"/>
    <col min="14089" max="14089" width="16.5546875" style="1" customWidth="1"/>
    <col min="14090" max="14090" width="11.33203125" style="1" customWidth="1"/>
    <col min="14091" max="14102" width="9.109375" style="1"/>
    <col min="14103" max="14103" width="11" style="1" customWidth="1"/>
    <col min="14104" max="14342" width="9.109375" style="1"/>
    <col min="14343" max="14343" width="14.5546875" style="1" customWidth="1"/>
    <col min="14344" max="14344" width="15.5546875" style="1" customWidth="1"/>
    <col min="14345" max="14345" width="16.5546875" style="1" customWidth="1"/>
    <col min="14346" max="14346" width="11.33203125" style="1" customWidth="1"/>
    <col min="14347" max="14358" width="9.109375" style="1"/>
    <col min="14359" max="14359" width="11" style="1" customWidth="1"/>
    <col min="14360" max="14598" width="9.109375" style="1"/>
    <col min="14599" max="14599" width="14.5546875" style="1" customWidth="1"/>
    <col min="14600" max="14600" width="15.5546875" style="1" customWidth="1"/>
    <col min="14601" max="14601" width="16.5546875" style="1" customWidth="1"/>
    <col min="14602" max="14602" width="11.33203125" style="1" customWidth="1"/>
    <col min="14603" max="14614" width="9.109375" style="1"/>
    <col min="14615" max="14615" width="11" style="1" customWidth="1"/>
    <col min="14616" max="14854" width="9.109375" style="1"/>
    <col min="14855" max="14855" width="14.5546875" style="1" customWidth="1"/>
    <col min="14856" max="14856" width="15.5546875" style="1" customWidth="1"/>
    <col min="14857" max="14857" width="16.5546875" style="1" customWidth="1"/>
    <col min="14858" max="14858" width="11.33203125" style="1" customWidth="1"/>
    <col min="14859" max="14870" width="9.109375" style="1"/>
    <col min="14871" max="14871" width="11" style="1" customWidth="1"/>
    <col min="14872" max="15110" width="9.109375" style="1"/>
    <col min="15111" max="15111" width="14.5546875" style="1" customWidth="1"/>
    <col min="15112" max="15112" width="15.5546875" style="1" customWidth="1"/>
    <col min="15113" max="15113" width="16.5546875" style="1" customWidth="1"/>
    <col min="15114" max="15114" width="11.33203125" style="1" customWidth="1"/>
    <col min="15115" max="15126" width="9.109375" style="1"/>
    <col min="15127" max="15127" width="11" style="1" customWidth="1"/>
    <col min="15128" max="15366" width="9.109375" style="1"/>
    <col min="15367" max="15367" width="14.5546875" style="1" customWidth="1"/>
    <col min="15368" max="15368" width="15.5546875" style="1" customWidth="1"/>
    <col min="15369" max="15369" width="16.5546875" style="1" customWidth="1"/>
    <col min="15370" max="15370" width="11.33203125" style="1" customWidth="1"/>
    <col min="15371" max="15382" width="9.109375" style="1"/>
    <col min="15383" max="15383" width="11" style="1" customWidth="1"/>
    <col min="15384" max="15622" width="9.109375" style="1"/>
    <col min="15623" max="15623" width="14.5546875" style="1" customWidth="1"/>
    <col min="15624" max="15624" width="15.5546875" style="1" customWidth="1"/>
    <col min="15625" max="15625" width="16.5546875" style="1" customWidth="1"/>
    <col min="15626" max="15626" width="11.33203125" style="1" customWidth="1"/>
    <col min="15627" max="15638" width="9.109375" style="1"/>
    <col min="15639" max="15639" width="11" style="1" customWidth="1"/>
    <col min="15640" max="15878" width="9.109375" style="1"/>
    <col min="15879" max="15879" width="14.5546875" style="1" customWidth="1"/>
    <col min="15880" max="15880" width="15.5546875" style="1" customWidth="1"/>
    <col min="15881" max="15881" width="16.5546875" style="1" customWidth="1"/>
    <col min="15882" max="15882" width="11.33203125" style="1" customWidth="1"/>
    <col min="15883" max="15894" width="9.109375" style="1"/>
    <col min="15895" max="15895" width="11" style="1" customWidth="1"/>
    <col min="15896" max="16134" width="9.109375" style="1"/>
    <col min="16135" max="16135" width="14.5546875" style="1" customWidth="1"/>
    <col min="16136" max="16136" width="15.5546875" style="1" customWidth="1"/>
    <col min="16137" max="16137" width="16.5546875" style="1" customWidth="1"/>
    <col min="16138" max="16138" width="11.33203125" style="1" customWidth="1"/>
    <col min="16139" max="16150" width="9.109375" style="1"/>
    <col min="16151" max="16151" width="11" style="1" customWidth="1"/>
    <col min="16152" max="16384" width="9.109375" style="1"/>
  </cols>
  <sheetData>
    <row r="1" spans="1:45" ht="15" customHeight="1" x14ac:dyDescent="0.3">
      <c r="A1" s="63" t="s">
        <v>263</v>
      </c>
      <c r="B1" s="63"/>
      <c r="C1" s="63"/>
      <c r="D1" s="63"/>
      <c r="E1" s="63"/>
      <c r="F1" s="63"/>
      <c r="G1" s="63"/>
      <c r="H1" s="63"/>
      <c r="I1" s="63"/>
      <c r="J1" s="63"/>
    </row>
    <row r="2" spans="1:45" ht="15" customHeight="1" x14ac:dyDescent="0.3">
      <c r="A2" s="63"/>
      <c r="B2" s="63"/>
      <c r="C2" s="63"/>
      <c r="D2" s="63"/>
      <c r="E2" s="63"/>
      <c r="F2" s="63"/>
      <c r="G2" s="63"/>
      <c r="H2" s="63"/>
      <c r="I2" s="63"/>
      <c r="J2" s="63"/>
    </row>
    <row r="3" spans="1:45" ht="15" customHeight="1" x14ac:dyDescent="0.3">
      <c r="A3" s="63"/>
      <c r="B3" s="63"/>
      <c r="C3" s="63"/>
      <c r="D3" s="63"/>
      <c r="E3" s="63"/>
      <c r="F3" s="63"/>
      <c r="G3" s="63"/>
      <c r="H3" s="63"/>
      <c r="I3" s="63"/>
      <c r="J3" s="63"/>
    </row>
    <row r="4" spans="1:45" ht="15" customHeight="1" x14ac:dyDescent="0.3">
      <c r="A4" s="63"/>
      <c r="B4" s="63"/>
      <c r="C4" s="63"/>
      <c r="D4" s="63"/>
      <c r="E4" s="63"/>
      <c r="F4" s="63"/>
      <c r="G4" s="63"/>
      <c r="H4" s="63"/>
      <c r="I4" s="63"/>
      <c r="J4" s="63"/>
    </row>
    <row r="5" spans="1:45" ht="15" customHeight="1" x14ac:dyDescent="0.3">
      <c r="A5" s="63"/>
      <c r="B5" s="63"/>
      <c r="C5" s="63"/>
      <c r="D5" s="63"/>
      <c r="E5" s="63"/>
      <c r="F5" s="63"/>
      <c r="G5" s="63"/>
      <c r="H5" s="63"/>
      <c r="I5" s="63"/>
      <c r="J5" s="63"/>
    </row>
    <row r="6" spans="1:45" ht="15" customHeight="1" x14ac:dyDescent="0.3">
      <c r="A6" s="63"/>
      <c r="B6" s="63"/>
      <c r="C6" s="63"/>
      <c r="D6" s="63"/>
      <c r="E6" s="63"/>
      <c r="F6" s="63"/>
      <c r="G6" s="63"/>
      <c r="H6" s="63"/>
      <c r="I6" s="63"/>
      <c r="J6" s="63"/>
    </row>
    <row r="7" spans="1:45" ht="15" customHeight="1" x14ac:dyDescent="0.3">
      <c r="A7" s="63"/>
      <c r="B7" s="63"/>
      <c r="C7" s="63"/>
      <c r="D7" s="63"/>
      <c r="E7" s="63"/>
      <c r="F7" s="63"/>
      <c r="G7" s="63"/>
      <c r="H7" s="63"/>
      <c r="I7" s="63"/>
      <c r="J7" s="63"/>
    </row>
    <row r="8" spans="1:45" ht="15" customHeight="1" x14ac:dyDescent="0.3">
      <c r="A8" s="63"/>
      <c r="B8" s="63"/>
      <c r="C8" s="63"/>
      <c r="D8" s="63"/>
      <c r="E8" s="63"/>
      <c r="F8" s="63"/>
      <c r="G8" s="63"/>
      <c r="H8" s="63"/>
      <c r="I8" s="63"/>
      <c r="J8" s="63"/>
    </row>
    <row r="9" spans="1:45" ht="15" customHeight="1" x14ac:dyDescent="0.3">
      <c r="A9" s="63"/>
      <c r="B9" s="63"/>
      <c r="C9" s="63"/>
      <c r="D9" s="63"/>
      <c r="E9" s="63"/>
      <c r="F9" s="63"/>
      <c r="G9" s="63"/>
      <c r="H9" s="63"/>
      <c r="I9" s="63"/>
      <c r="J9" s="63"/>
    </row>
    <row r="10" spans="1:45" ht="15" customHeight="1" x14ac:dyDescent="0.3">
      <c r="A10" s="63"/>
      <c r="B10" s="63"/>
      <c r="C10" s="63"/>
      <c r="D10" s="63"/>
      <c r="E10" s="63"/>
      <c r="F10" s="63"/>
      <c r="G10" s="63"/>
      <c r="H10" s="63"/>
      <c r="I10" s="63"/>
      <c r="J10" s="63"/>
      <c r="AJ10"/>
      <c r="AK10"/>
      <c r="AR10" s="1"/>
      <c r="AS10" s="1"/>
    </row>
    <row r="11" spans="1:45" ht="15" customHeight="1" x14ac:dyDescent="0.3">
      <c r="A11" s="63"/>
      <c r="B11" s="63"/>
      <c r="C11" s="63"/>
      <c r="D11" s="63"/>
      <c r="E11" s="63"/>
      <c r="F11" s="63"/>
      <c r="G11" s="63"/>
      <c r="H11" s="63"/>
      <c r="I11" s="63"/>
      <c r="J11" s="63"/>
      <c r="AJ11"/>
      <c r="AK11"/>
      <c r="AR11" s="1"/>
      <c r="AS11" s="1"/>
    </row>
    <row r="12" spans="1:45" ht="24.75" customHeight="1" x14ac:dyDescent="0.3">
      <c r="A12" s="63"/>
      <c r="B12" s="63"/>
      <c r="C12" s="63"/>
      <c r="D12" s="63"/>
      <c r="E12" s="63"/>
      <c r="F12" s="63"/>
      <c r="G12" s="63"/>
      <c r="H12" s="63"/>
      <c r="I12" s="63"/>
      <c r="J12" s="63"/>
      <c r="AJ12"/>
      <c r="AK12"/>
      <c r="AR12" s="1"/>
      <c r="AS12" s="1"/>
    </row>
    <row r="13" spans="1:45" ht="15" customHeight="1" x14ac:dyDescent="0.3">
      <c r="A13" s="63"/>
      <c r="B13" s="63"/>
      <c r="C13" s="63"/>
      <c r="D13" s="63"/>
      <c r="E13" s="63"/>
      <c r="F13" s="63"/>
      <c r="G13" s="63"/>
      <c r="H13" s="63"/>
      <c r="I13" s="63"/>
      <c r="J13" s="63"/>
      <c r="AJ13"/>
      <c r="AK13"/>
      <c r="AR13" s="1"/>
      <c r="AS13" s="1"/>
    </row>
    <row r="14" spans="1:45" ht="15" customHeight="1" x14ac:dyDescent="0.3">
      <c r="A14" s="63"/>
      <c r="B14" s="63"/>
      <c r="C14" s="63"/>
      <c r="D14" s="63"/>
      <c r="E14" s="63"/>
      <c r="F14" s="63"/>
      <c r="G14" s="63"/>
      <c r="H14" s="63"/>
      <c r="I14" s="63"/>
      <c r="J14" s="63"/>
      <c r="AJ14"/>
      <c r="AK14"/>
      <c r="AR14" s="1"/>
      <c r="AS14" s="1"/>
    </row>
    <row r="15" spans="1:45" ht="15" customHeight="1" x14ac:dyDescent="0.3">
      <c r="A15" s="63"/>
      <c r="B15" s="63"/>
      <c r="C15" s="63"/>
      <c r="D15" s="63"/>
      <c r="E15" s="63"/>
      <c r="F15" s="63"/>
      <c r="G15" s="63"/>
      <c r="H15" s="63"/>
      <c r="I15" s="63"/>
      <c r="J15" s="63"/>
    </row>
    <row r="16" spans="1:45" ht="15" customHeight="1" x14ac:dyDescent="0.3">
      <c r="A16" s="63"/>
      <c r="B16" s="63"/>
      <c r="C16" s="63"/>
      <c r="D16" s="63"/>
      <c r="E16" s="63"/>
      <c r="F16" s="63"/>
      <c r="G16" s="63"/>
      <c r="H16" s="63"/>
      <c r="I16" s="63"/>
      <c r="J16" s="63"/>
    </row>
    <row r="17" spans="1:10" ht="15" customHeight="1" x14ac:dyDescent="0.3">
      <c r="A17" s="63"/>
      <c r="B17" s="63"/>
      <c r="C17" s="63"/>
      <c r="D17" s="63"/>
      <c r="E17" s="63"/>
      <c r="F17" s="63"/>
      <c r="G17" s="63"/>
      <c r="H17" s="63"/>
      <c r="I17" s="63"/>
      <c r="J17" s="63"/>
    </row>
    <row r="18" spans="1:10" ht="15" customHeight="1" x14ac:dyDescent="0.3">
      <c r="A18" s="63"/>
      <c r="B18" s="63"/>
      <c r="C18" s="63"/>
      <c r="D18" s="63"/>
      <c r="E18" s="63"/>
      <c r="F18" s="63"/>
      <c r="G18" s="63"/>
      <c r="H18" s="63"/>
      <c r="I18" s="63"/>
      <c r="J18" s="63"/>
    </row>
    <row r="19" spans="1:10" ht="15" customHeight="1" x14ac:dyDescent="0.3">
      <c r="A19" s="63"/>
      <c r="B19" s="63"/>
      <c r="C19" s="63"/>
      <c r="D19" s="63"/>
      <c r="E19" s="63"/>
      <c r="F19" s="63"/>
      <c r="G19" s="63"/>
      <c r="H19" s="63"/>
      <c r="I19" s="63"/>
      <c r="J19" s="63"/>
    </row>
    <row r="20" spans="1:10" ht="15" customHeight="1" x14ac:dyDescent="0.3">
      <c r="A20" s="63"/>
      <c r="B20" s="63"/>
      <c r="C20" s="63"/>
      <c r="D20" s="63"/>
      <c r="E20" s="63"/>
      <c r="F20" s="63"/>
      <c r="G20" s="63"/>
      <c r="H20" s="63"/>
      <c r="I20" s="63"/>
      <c r="J20" s="63"/>
    </row>
    <row r="21" spans="1:10" ht="15" customHeight="1" x14ac:dyDescent="0.3">
      <c r="A21" s="63"/>
      <c r="B21" s="63"/>
      <c r="C21" s="63"/>
      <c r="D21" s="63"/>
      <c r="E21" s="63"/>
      <c r="F21" s="63"/>
      <c r="G21" s="63"/>
      <c r="H21" s="63"/>
      <c r="I21" s="63"/>
      <c r="J21" s="63"/>
    </row>
    <row r="22" spans="1:10" ht="15" customHeight="1" x14ac:dyDescent="0.3">
      <c r="A22" s="63"/>
      <c r="B22" s="63"/>
      <c r="C22" s="63"/>
      <c r="D22" s="63"/>
      <c r="E22" s="63"/>
      <c r="F22" s="63"/>
      <c r="G22" s="63"/>
      <c r="H22" s="63"/>
      <c r="I22" s="63"/>
      <c r="J22" s="63"/>
    </row>
    <row r="23" spans="1:10" ht="15" customHeight="1" x14ac:dyDescent="0.3">
      <c r="A23" s="63"/>
      <c r="B23" s="63"/>
      <c r="C23" s="63"/>
      <c r="D23" s="63"/>
      <c r="E23" s="63"/>
      <c r="F23" s="63"/>
      <c r="G23" s="63"/>
      <c r="H23" s="63"/>
      <c r="I23" s="63"/>
      <c r="J23" s="63"/>
    </row>
    <row r="24" spans="1:10" ht="15" customHeight="1" x14ac:dyDescent="0.3">
      <c r="A24" s="63"/>
      <c r="B24" s="63"/>
      <c r="C24" s="63"/>
      <c r="D24" s="63"/>
      <c r="E24" s="63"/>
      <c r="F24" s="63"/>
      <c r="G24" s="63"/>
      <c r="H24" s="63"/>
      <c r="I24" s="63"/>
      <c r="J24" s="63"/>
    </row>
    <row r="25" spans="1:10" ht="15" customHeight="1" x14ac:dyDescent="0.3">
      <c r="A25" s="63"/>
      <c r="B25" s="63"/>
      <c r="C25" s="63"/>
      <c r="D25" s="63"/>
      <c r="E25" s="63"/>
      <c r="F25" s="63"/>
      <c r="G25" s="63"/>
      <c r="H25" s="63"/>
      <c r="I25" s="63"/>
      <c r="J25" s="63"/>
    </row>
    <row r="26" spans="1:10" ht="15" customHeight="1" x14ac:dyDescent="0.3">
      <c r="A26" s="63"/>
      <c r="B26" s="63"/>
      <c r="C26" s="63"/>
      <c r="D26" s="63"/>
      <c r="E26" s="63"/>
      <c r="F26" s="63"/>
      <c r="G26" s="63"/>
      <c r="H26" s="63"/>
      <c r="I26" s="63"/>
      <c r="J26" s="63"/>
    </row>
    <row r="27" spans="1:10" ht="15" customHeight="1" x14ac:dyDescent="0.3">
      <c r="A27" s="63"/>
      <c r="B27" s="63"/>
      <c r="C27" s="63"/>
      <c r="D27" s="63"/>
      <c r="E27" s="63"/>
      <c r="F27" s="63"/>
      <c r="G27" s="63"/>
      <c r="H27" s="63"/>
      <c r="I27" s="63"/>
      <c r="J27" s="63"/>
    </row>
    <row r="28" spans="1:10" ht="15" customHeight="1" x14ac:dyDescent="0.3">
      <c r="A28" s="63"/>
      <c r="B28" s="63"/>
      <c r="C28" s="63"/>
      <c r="D28" s="63"/>
      <c r="E28" s="63"/>
      <c r="F28" s="63"/>
      <c r="G28" s="63"/>
      <c r="H28" s="63"/>
      <c r="I28" s="63"/>
      <c r="J28" s="63"/>
    </row>
    <row r="29" spans="1:10" ht="15" customHeight="1" x14ac:dyDescent="0.3">
      <c r="A29" s="63"/>
      <c r="B29" s="63"/>
      <c r="C29" s="63"/>
      <c r="D29" s="63"/>
      <c r="E29" s="63"/>
      <c r="F29" s="63"/>
      <c r="G29" s="63"/>
      <c r="H29" s="63"/>
      <c r="I29" s="63"/>
      <c r="J29" s="63"/>
    </row>
    <row r="30" spans="1:10" ht="15" customHeight="1" x14ac:dyDescent="0.3">
      <c r="A30" s="63"/>
      <c r="B30" s="63"/>
      <c r="C30" s="63"/>
      <c r="D30" s="63"/>
      <c r="E30" s="63"/>
      <c r="F30" s="63"/>
      <c r="G30" s="63"/>
      <c r="H30" s="63"/>
      <c r="I30" s="63"/>
      <c r="J30" s="63"/>
    </row>
    <row r="31" spans="1:10" ht="15" customHeight="1" x14ac:dyDescent="0.3">
      <c r="A31" s="63"/>
      <c r="B31" s="63"/>
      <c r="C31" s="63"/>
      <c r="D31" s="63"/>
      <c r="E31" s="63"/>
      <c r="F31" s="63"/>
      <c r="G31" s="63"/>
      <c r="H31" s="63"/>
      <c r="I31" s="63"/>
      <c r="J31" s="63"/>
    </row>
    <row r="32" spans="1:10" ht="15" customHeight="1" x14ac:dyDescent="0.3">
      <c r="A32" s="63"/>
      <c r="B32" s="63"/>
      <c r="C32" s="63"/>
      <c r="D32" s="63"/>
      <c r="E32" s="63"/>
      <c r="F32" s="63"/>
      <c r="G32" s="63"/>
      <c r="H32" s="63"/>
      <c r="I32" s="63"/>
      <c r="J32" s="63"/>
    </row>
    <row r="33" spans="1:10" ht="15" customHeight="1" x14ac:dyDescent="0.3">
      <c r="A33" s="63"/>
      <c r="B33" s="63"/>
      <c r="C33" s="63"/>
      <c r="D33" s="63"/>
      <c r="E33" s="63"/>
      <c r="F33" s="63"/>
      <c r="G33" s="63"/>
      <c r="H33" s="63"/>
      <c r="I33" s="63"/>
      <c r="J33" s="63"/>
    </row>
    <row r="34" spans="1:10" ht="15" customHeight="1" x14ac:dyDescent="0.3">
      <c r="A34" s="63"/>
      <c r="B34" s="63"/>
      <c r="C34" s="63"/>
      <c r="D34" s="63"/>
      <c r="E34" s="63"/>
      <c r="F34" s="63"/>
      <c r="G34" s="63"/>
      <c r="H34" s="63"/>
      <c r="I34" s="63"/>
      <c r="J34" s="63"/>
    </row>
    <row r="35" spans="1:10" ht="15" customHeight="1" x14ac:dyDescent="0.3">
      <c r="A35" s="63"/>
      <c r="B35" s="63"/>
      <c r="C35" s="63"/>
      <c r="D35" s="63"/>
      <c r="E35" s="63"/>
      <c r="F35" s="63"/>
      <c r="G35" s="63"/>
      <c r="H35" s="63"/>
      <c r="I35" s="63"/>
      <c r="J35" s="63"/>
    </row>
    <row r="36" spans="1:10" ht="15" customHeight="1" x14ac:dyDescent="0.3">
      <c r="A36" s="63"/>
      <c r="B36" s="63"/>
      <c r="C36" s="63"/>
      <c r="D36" s="63"/>
      <c r="E36" s="63"/>
      <c r="F36" s="63"/>
      <c r="G36" s="63"/>
      <c r="H36" s="63"/>
      <c r="I36" s="63"/>
      <c r="J36" s="63"/>
    </row>
    <row r="37" spans="1:10" ht="15" customHeight="1" x14ac:dyDescent="0.3">
      <c r="A37" s="63"/>
      <c r="B37" s="63"/>
      <c r="C37" s="63"/>
      <c r="D37" s="63"/>
      <c r="E37" s="63"/>
      <c r="F37" s="63"/>
      <c r="G37" s="63"/>
      <c r="H37" s="63"/>
      <c r="I37" s="63"/>
      <c r="J37" s="63"/>
    </row>
    <row r="38" spans="1:10" ht="15" customHeight="1" x14ac:dyDescent="0.3">
      <c r="A38" s="63"/>
      <c r="B38" s="63"/>
      <c r="C38" s="63"/>
      <c r="D38" s="63"/>
      <c r="E38" s="63"/>
      <c r="F38" s="63"/>
      <c r="G38" s="63"/>
      <c r="H38" s="63"/>
      <c r="I38" s="63"/>
      <c r="J38" s="63"/>
    </row>
    <row r="39" spans="1:10" ht="15" customHeight="1" x14ac:dyDescent="0.3">
      <c r="A39" s="63"/>
      <c r="B39" s="63"/>
      <c r="C39" s="63"/>
      <c r="D39" s="63"/>
      <c r="E39" s="63"/>
      <c r="F39" s="63"/>
      <c r="G39" s="63"/>
      <c r="H39" s="63"/>
      <c r="I39" s="63"/>
      <c r="J39" s="63"/>
    </row>
    <row r="40" spans="1:10" ht="15" customHeight="1" x14ac:dyDescent="0.3">
      <c r="A40" s="63"/>
      <c r="B40" s="63"/>
      <c r="C40" s="63"/>
      <c r="D40" s="63"/>
      <c r="E40" s="63"/>
      <c r="F40" s="63"/>
      <c r="G40" s="63"/>
      <c r="H40" s="63"/>
      <c r="I40" s="63"/>
      <c r="J40" s="63"/>
    </row>
    <row r="41" spans="1:10" ht="15" customHeight="1" x14ac:dyDescent="0.3">
      <c r="A41" s="63"/>
      <c r="B41" s="63"/>
      <c r="C41" s="63"/>
      <c r="D41" s="63"/>
      <c r="E41" s="63"/>
      <c r="F41" s="63"/>
      <c r="G41" s="63"/>
      <c r="H41" s="63"/>
      <c r="I41" s="63"/>
      <c r="J41" s="63"/>
    </row>
    <row r="42" spans="1:10" ht="15" customHeight="1" x14ac:dyDescent="0.3">
      <c r="A42" s="63"/>
      <c r="B42" s="63"/>
      <c r="C42" s="63"/>
      <c r="D42" s="63"/>
      <c r="E42" s="63"/>
      <c r="F42" s="63"/>
      <c r="G42" s="63"/>
      <c r="H42" s="63"/>
      <c r="I42" s="63"/>
      <c r="J42" s="63"/>
    </row>
    <row r="43" spans="1:10" ht="15" customHeight="1" x14ac:dyDescent="0.3">
      <c r="A43" s="63"/>
      <c r="B43" s="63"/>
      <c r="C43" s="63"/>
      <c r="D43" s="63"/>
      <c r="E43" s="63"/>
      <c r="F43" s="63"/>
      <c r="G43" s="63"/>
      <c r="H43" s="63"/>
      <c r="I43" s="63"/>
      <c r="J43" s="63"/>
    </row>
    <row r="44" spans="1:10" ht="15" customHeight="1" x14ac:dyDescent="0.3">
      <c r="A44" s="63"/>
      <c r="B44" s="63"/>
      <c r="C44" s="63"/>
      <c r="D44" s="63"/>
      <c r="E44" s="63"/>
      <c r="F44" s="63"/>
      <c r="G44" s="63"/>
      <c r="H44" s="63"/>
      <c r="I44" s="63"/>
      <c r="J44" s="63"/>
    </row>
    <row r="45" spans="1:10" ht="15" customHeight="1" x14ac:dyDescent="0.3">
      <c r="A45" s="63"/>
      <c r="B45" s="63"/>
      <c r="C45" s="63"/>
      <c r="D45" s="63"/>
      <c r="E45" s="63"/>
      <c r="F45" s="63"/>
      <c r="G45" s="63"/>
      <c r="H45" s="63"/>
      <c r="I45" s="63"/>
      <c r="J45" s="63"/>
    </row>
    <row r="46" spans="1:10" ht="15" customHeight="1" x14ac:dyDescent="0.3">
      <c r="A46" s="63"/>
      <c r="B46" s="63"/>
      <c r="C46" s="63"/>
      <c r="D46" s="63"/>
      <c r="E46" s="63"/>
      <c r="F46" s="63"/>
      <c r="G46" s="63"/>
      <c r="H46" s="63"/>
      <c r="I46" s="63"/>
      <c r="J46" s="63"/>
    </row>
    <row r="47" spans="1:10" ht="15" customHeight="1" x14ac:dyDescent="0.3">
      <c r="A47" s="63"/>
      <c r="B47" s="63"/>
      <c r="C47" s="63"/>
      <c r="D47" s="63"/>
      <c r="E47" s="63"/>
      <c r="F47" s="63"/>
      <c r="G47" s="63"/>
      <c r="H47" s="63"/>
      <c r="I47" s="63"/>
      <c r="J47" s="63"/>
    </row>
    <row r="48" spans="1:10" ht="15" customHeight="1" x14ac:dyDescent="0.3">
      <c r="A48" s="63"/>
      <c r="B48" s="63"/>
      <c r="C48" s="63"/>
      <c r="D48" s="63"/>
      <c r="E48" s="63"/>
      <c r="F48" s="63"/>
      <c r="G48" s="63"/>
      <c r="H48" s="63"/>
      <c r="I48" s="63"/>
      <c r="J48" s="63"/>
    </row>
    <row r="49" spans="1:10" ht="15" customHeight="1" x14ac:dyDescent="0.3">
      <c r="A49" s="63"/>
      <c r="B49" s="63"/>
      <c r="C49" s="63"/>
      <c r="D49" s="63"/>
      <c r="E49" s="63"/>
      <c r="F49" s="63"/>
      <c r="G49" s="63"/>
      <c r="H49" s="63"/>
      <c r="I49" s="63"/>
      <c r="J49" s="63"/>
    </row>
    <row r="50" spans="1:10" ht="15" customHeight="1" x14ac:dyDescent="0.3">
      <c r="A50" s="63"/>
      <c r="B50" s="63"/>
      <c r="C50" s="63"/>
      <c r="D50" s="63"/>
      <c r="E50" s="63"/>
      <c r="F50" s="63"/>
      <c r="G50" s="63"/>
      <c r="H50" s="63"/>
      <c r="I50" s="63"/>
      <c r="J50" s="63"/>
    </row>
    <row r="51" spans="1:10" ht="15" customHeight="1" x14ac:dyDescent="0.3">
      <c r="A51" s="27"/>
      <c r="B51" s="27"/>
      <c r="C51" s="27"/>
      <c r="D51" s="27"/>
      <c r="E51" s="27"/>
      <c r="F51" s="27"/>
      <c r="G51" s="27"/>
      <c r="H51" s="27"/>
      <c r="I51" s="27"/>
      <c r="J51" s="27"/>
    </row>
    <row r="52" spans="1:10" ht="15" customHeight="1" x14ac:dyDescent="0.3">
      <c r="A52" s="27"/>
      <c r="B52" s="27"/>
      <c r="C52" s="27"/>
      <c r="D52" s="27"/>
      <c r="E52" s="27"/>
      <c r="F52" s="27"/>
      <c r="G52" s="27"/>
      <c r="H52" s="27"/>
      <c r="I52" s="27"/>
      <c r="J52" s="27"/>
    </row>
    <row r="53" spans="1:10" ht="15" customHeight="1" x14ac:dyDescent="0.3">
      <c r="A53" s="27"/>
      <c r="B53" s="27"/>
      <c r="C53" s="27"/>
      <c r="D53" s="27"/>
      <c r="E53" s="27"/>
      <c r="F53" s="27"/>
      <c r="G53" s="27"/>
      <c r="H53" s="27"/>
      <c r="I53" s="27"/>
      <c r="J53" s="27"/>
    </row>
    <row r="54" spans="1:10" ht="15.6" x14ac:dyDescent="0.3">
      <c r="A54" s="2" t="s">
        <v>188</v>
      </c>
    </row>
    <row r="55" spans="1:10" ht="15" customHeight="1" x14ac:dyDescent="0.3">
      <c r="A55" s="61" t="s">
        <v>195</v>
      </c>
      <c r="B55" s="61"/>
      <c r="C55" s="61"/>
      <c r="D55" s="61"/>
      <c r="E55" s="61"/>
      <c r="F55" s="61"/>
      <c r="G55" s="61"/>
      <c r="H55" s="61"/>
      <c r="I55" s="61"/>
      <c r="J55" s="61"/>
    </row>
    <row r="56" spans="1:10" ht="15" customHeight="1" x14ac:dyDescent="0.3">
      <c r="A56" s="61"/>
      <c r="B56" s="61"/>
      <c r="C56" s="61"/>
      <c r="D56" s="61"/>
      <c r="E56" s="61"/>
      <c r="F56" s="61"/>
      <c r="G56" s="61"/>
      <c r="H56" s="61"/>
      <c r="I56" s="61"/>
      <c r="J56" s="61"/>
    </row>
    <row r="76" spans="1:10" ht="15" customHeight="1" x14ac:dyDescent="0.3">
      <c r="A76" s="64" t="s">
        <v>191</v>
      </c>
      <c r="B76" s="64"/>
      <c r="C76" s="64"/>
      <c r="D76" s="64"/>
      <c r="E76" s="64"/>
      <c r="F76" s="64"/>
      <c r="G76" s="64"/>
      <c r="H76" s="64"/>
      <c r="I76" s="64"/>
      <c r="J76" s="64"/>
    </row>
    <row r="77" spans="1:10" ht="15" customHeight="1" x14ac:dyDescent="0.3">
      <c r="A77" s="64"/>
      <c r="B77" s="64"/>
      <c r="C77" s="64"/>
      <c r="D77" s="64"/>
      <c r="E77" s="64"/>
      <c r="F77" s="64"/>
      <c r="G77" s="64"/>
      <c r="H77" s="64"/>
      <c r="I77" s="64"/>
      <c r="J77" s="64"/>
    </row>
    <row r="79" spans="1:10" ht="15" customHeight="1" x14ac:dyDescent="0.3">
      <c r="A79" s="61" t="s">
        <v>196</v>
      </c>
      <c r="B79" s="61"/>
      <c r="C79" s="61"/>
      <c r="D79" s="61"/>
      <c r="E79" s="61"/>
      <c r="F79" s="61"/>
      <c r="G79" s="61"/>
      <c r="H79" s="61"/>
      <c r="I79" s="61"/>
      <c r="J79" s="61"/>
    </row>
    <row r="80" spans="1:10" ht="15" customHeight="1" x14ac:dyDescent="0.3">
      <c r="A80" s="61"/>
      <c r="B80" s="61"/>
      <c r="C80" s="61"/>
      <c r="D80" s="61"/>
      <c r="E80" s="61"/>
      <c r="F80" s="61"/>
      <c r="G80" s="61"/>
      <c r="H80" s="61"/>
      <c r="I80" s="61"/>
      <c r="J80" s="61"/>
    </row>
    <row r="99" spans="1:10" ht="15" customHeight="1" x14ac:dyDescent="0.3">
      <c r="A99" s="64" t="s">
        <v>197</v>
      </c>
      <c r="B99" s="64"/>
      <c r="C99" s="64"/>
      <c r="D99" s="64"/>
      <c r="E99" s="64"/>
      <c r="F99" s="64"/>
      <c r="G99" s="64"/>
      <c r="H99" s="64"/>
      <c r="I99" s="64"/>
      <c r="J99" s="64"/>
    </row>
    <row r="100" spans="1:10" ht="15" customHeight="1" x14ac:dyDescent="0.3">
      <c r="A100" s="64"/>
      <c r="B100" s="64"/>
      <c r="C100" s="64"/>
      <c r="D100" s="64"/>
      <c r="E100" s="64"/>
      <c r="F100" s="64"/>
      <c r="G100" s="64"/>
      <c r="H100" s="64"/>
      <c r="I100" s="64"/>
      <c r="J100" s="64"/>
    </row>
    <row r="110" spans="1:10" ht="15" customHeight="1" x14ac:dyDescent="0.3">
      <c r="A110" s="61" t="s">
        <v>189</v>
      </c>
      <c r="B110" s="61"/>
      <c r="C110" s="61"/>
      <c r="D110" s="61"/>
      <c r="E110" s="61"/>
      <c r="F110" s="61"/>
      <c r="G110" s="61"/>
      <c r="H110" s="61"/>
      <c r="I110" s="61"/>
      <c r="J110" s="61"/>
    </row>
    <row r="111" spans="1:10" ht="15" customHeight="1" x14ac:dyDescent="0.3">
      <c r="A111" s="61"/>
      <c r="B111" s="61"/>
      <c r="C111" s="61"/>
      <c r="D111" s="61"/>
      <c r="E111" s="61"/>
      <c r="F111" s="61"/>
      <c r="G111" s="61"/>
      <c r="H111" s="61"/>
      <c r="I111" s="61"/>
      <c r="J111" s="61"/>
    </row>
    <row r="129" spans="1:10" x14ac:dyDescent="0.3">
      <c r="A129" s="3" t="s">
        <v>0</v>
      </c>
      <c r="B129" s="3">
        <v>2010</v>
      </c>
      <c r="C129" s="3">
        <f>B129+1</f>
        <v>2011</v>
      </c>
      <c r="D129" s="3">
        <f t="shared" ref="D129:J129" si="0">C129+1</f>
        <v>2012</v>
      </c>
      <c r="E129" s="3">
        <f t="shared" si="0"/>
        <v>2013</v>
      </c>
      <c r="F129" s="3">
        <f t="shared" si="0"/>
        <v>2014</v>
      </c>
      <c r="G129" s="3">
        <f t="shared" si="0"/>
        <v>2015</v>
      </c>
      <c r="H129" s="3">
        <f t="shared" si="0"/>
        <v>2016</v>
      </c>
      <c r="I129" s="3">
        <f t="shared" si="0"/>
        <v>2017</v>
      </c>
      <c r="J129" s="3">
        <f t="shared" si="0"/>
        <v>2018</v>
      </c>
    </row>
    <row r="130" spans="1:10" x14ac:dyDescent="0.3">
      <c r="A130" s="9" t="s">
        <v>2</v>
      </c>
      <c r="B130" s="3">
        <f>Calculate!C25</f>
        <v>195</v>
      </c>
      <c r="C130" s="3">
        <f>Calculate!D25</f>
        <v>145</v>
      </c>
      <c r="D130" s="3">
        <f>Calculate!E25</f>
        <v>163</v>
      </c>
      <c r="E130" s="3">
        <f>Calculate!F25</f>
        <v>215</v>
      </c>
      <c r="F130" s="3">
        <f>Calculate!G25</f>
        <v>189</v>
      </c>
      <c r="G130" s="3">
        <f>Calculate!H25</f>
        <v>239</v>
      </c>
      <c r="H130" s="3">
        <f>Calculate!I25</f>
        <v>324</v>
      </c>
      <c r="I130" s="3">
        <f>Calculate!J25</f>
        <v>215</v>
      </c>
      <c r="J130" s="3">
        <f>Calculate!K25</f>
        <v>61</v>
      </c>
    </row>
    <row r="131" spans="1:10" x14ac:dyDescent="0.3">
      <c r="A131" s="1" t="s">
        <v>1</v>
      </c>
    </row>
    <row r="132" spans="1:10" ht="15" customHeight="1" x14ac:dyDescent="0.3">
      <c r="A132" s="64" t="s">
        <v>192</v>
      </c>
      <c r="B132" s="64"/>
      <c r="C132" s="64"/>
      <c r="D132" s="64"/>
      <c r="E132" s="64"/>
      <c r="F132" s="64"/>
      <c r="G132" s="64"/>
      <c r="H132" s="64"/>
      <c r="I132" s="64"/>
      <c r="J132" s="64"/>
    </row>
    <row r="133" spans="1:10" ht="15" customHeight="1" x14ac:dyDescent="0.3">
      <c r="A133" s="64"/>
      <c r="B133" s="64"/>
      <c r="C133" s="64"/>
      <c r="D133" s="64"/>
      <c r="E133" s="64"/>
      <c r="F133" s="64"/>
      <c r="G133" s="64"/>
      <c r="H133" s="64"/>
      <c r="I133" s="64"/>
      <c r="J133" s="64"/>
    </row>
    <row r="135" spans="1:10" ht="15" customHeight="1" x14ac:dyDescent="0.3">
      <c r="A135" s="61" t="s">
        <v>190</v>
      </c>
      <c r="B135" s="61"/>
      <c r="C135" s="61"/>
      <c r="D135" s="61"/>
      <c r="E135" s="61"/>
      <c r="F135" s="61"/>
      <c r="G135" s="61"/>
      <c r="H135" s="61"/>
      <c r="I135" s="61"/>
      <c r="J135" s="61"/>
    </row>
    <row r="136" spans="1:10" ht="15" customHeight="1" x14ac:dyDescent="0.3">
      <c r="A136" s="61"/>
      <c r="B136" s="61"/>
      <c r="C136" s="61"/>
      <c r="D136" s="61"/>
      <c r="E136" s="61"/>
      <c r="F136" s="61"/>
      <c r="G136" s="61"/>
      <c r="H136" s="61"/>
      <c r="I136" s="61"/>
      <c r="J136" s="61"/>
    </row>
    <row r="148" spans="1:10" ht="78" customHeight="1" x14ac:dyDescent="0.3"/>
    <row r="149" spans="1:10" x14ac:dyDescent="0.3">
      <c r="A149" s="3" t="s">
        <v>0</v>
      </c>
      <c r="B149" s="3">
        <v>2010</v>
      </c>
      <c r="C149" s="3">
        <f>B149+1</f>
        <v>2011</v>
      </c>
      <c r="D149" s="3">
        <f t="shared" ref="D149:J149" si="1">C149+1</f>
        <v>2012</v>
      </c>
      <c r="E149" s="3">
        <f t="shared" si="1"/>
        <v>2013</v>
      </c>
      <c r="F149" s="3">
        <f t="shared" si="1"/>
        <v>2014</v>
      </c>
      <c r="G149" s="3">
        <f t="shared" si="1"/>
        <v>2015</v>
      </c>
      <c r="H149" s="3">
        <f t="shared" si="1"/>
        <v>2016</v>
      </c>
      <c r="I149" s="3">
        <f t="shared" si="1"/>
        <v>2017</v>
      </c>
      <c r="J149" s="3">
        <f t="shared" si="1"/>
        <v>2018</v>
      </c>
    </row>
    <row r="150" spans="1:10" x14ac:dyDescent="0.3">
      <c r="A150" s="8" t="s">
        <v>68</v>
      </c>
      <c r="B150" s="3">
        <f>Calculate!V32</f>
        <v>193</v>
      </c>
      <c r="C150" s="3">
        <f>Calculate!W32</f>
        <v>138</v>
      </c>
      <c r="D150" s="3">
        <f>Calculate!X32</f>
        <v>152</v>
      </c>
      <c r="E150" s="3">
        <f>Calculate!Y32</f>
        <v>209</v>
      </c>
      <c r="F150" s="3">
        <f>Calculate!Z32</f>
        <v>187</v>
      </c>
      <c r="G150" s="3">
        <f>Calculate!AA32</f>
        <v>195</v>
      </c>
      <c r="H150" s="3">
        <f>Calculate!AB32</f>
        <v>255</v>
      </c>
      <c r="I150" s="3">
        <f>Calculate!AC32</f>
        <v>159</v>
      </c>
      <c r="J150" s="3">
        <f>Calculate!AD32</f>
        <v>13</v>
      </c>
    </row>
    <row r="151" spans="1:10" x14ac:dyDescent="0.3">
      <c r="A151" s="9" t="s">
        <v>67</v>
      </c>
      <c r="B151" s="3">
        <f>Calculate!V33</f>
        <v>2</v>
      </c>
      <c r="C151" s="3">
        <f>Calculate!W33</f>
        <v>7</v>
      </c>
      <c r="D151" s="3">
        <f>Calculate!X33</f>
        <v>11</v>
      </c>
      <c r="E151" s="3">
        <f>Calculate!Y33</f>
        <v>6</v>
      </c>
      <c r="F151" s="3">
        <f>Calculate!Z33</f>
        <v>2</v>
      </c>
      <c r="G151" s="3">
        <f>Calculate!AA33</f>
        <v>44</v>
      </c>
      <c r="H151" s="3">
        <f>Calculate!AB33</f>
        <v>69</v>
      </c>
      <c r="I151" s="3">
        <f>Calculate!AC33</f>
        <v>56</v>
      </c>
      <c r="J151" s="3">
        <f>Calculate!AD33</f>
        <v>48</v>
      </c>
    </row>
    <row r="152" spans="1:10" ht="24.6" x14ac:dyDescent="0.3">
      <c r="A152" s="25" t="s">
        <v>69</v>
      </c>
      <c r="B152" s="26">
        <f>B150/SUM(B150:B151)</f>
        <v>0.98974358974358978</v>
      </c>
      <c r="C152" s="26">
        <f>IFERROR(C150/SUM(C150:C151),0)</f>
        <v>0.9517241379310345</v>
      </c>
      <c r="D152" s="26">
        <f t="shared" ref="D152:J152" si="2">IFERROR(D150/SUM(D150:D151),0)</f>
        <v>0.93251533742331283</v>
      </c>
      <c r="E152" s="26">
        <f t="shared" si="2"/>
        <v>0.97209302325581393</v>
      </c>
      <c r="F152" s="26">
        <f t="shared" si="2"/>
        <v>0.98941798941798942</v>
      </c>
      <c r="G152" s="26">
        <f t="shared" si="2"/>
        <v>0.81589958158995812</v>
      </c>
      <c r="H152" s="26">
        <f t="shared" si="2"/>
        <v>0.78703703703703709</v>
      </c>
      <c r="I152" s="26">
        <f t="shared" si="2"/>
        <v>0.73953488372093024</v>
      </c>
      <c r="J152" s="26">
        <f t="shared" si="2"/>
        <v>0.21311475409836064</v>
      </c>
    </row>
    <row r="153" spans="1:10" x14ac:dyDescent="0.3">
      <c r="A153" s="1" t="s">
        <v>43</v>
      </c>
      <c r="E153" s="1" t="s">
        <v>78</v>
      </c>
      <c r="H153" s="1">
        <f>SUM(Calculate!C25:R25)-SUM(Calculate!C36:R36)</f>
        <v>1501</v>
      </c>
      <c r="I153" s="1" t="s">
        <v>44</v>
      </c>
    </row>
    <row r="154" spans="1:10" ht="13.5" customHeight="1" x14ac:dyDescent="0.3">
      <c r="A154" s="1" t="s">
        <v>79</v>
      </c>
      <c r="C154" s="1">
        <f>SUM(Calculate!C36:R36)</f>
        <v>245</v>
      </c>
      <c r="D154" s="1" t="s">
        <v>44</v>
      </c>
      <c r="E154" s="30" t="s">
        <v>77</v>
      </c>
      <c r="H154" s="28">
        <f>H153/SUM(H153,C154)</f>
        <v>0.8596792668957618</v>
      </c>
    </row>
    <row r="155" spans="1:10" ht="15" customHeight="1" x14ac:dyDescent="0.3">
      <c r="A155" s="64" t="s">
        <v>193</v>
      </c>
      <c r="B155" s="64"/>
      <c r="C155" s="64"/>
      <c r="D155" s="64"/>
      <c r="E155" s="64"/>
      <c r="F155" s="64"/>
      <c r="G155" s="64"/>
      <c r="H155" s="64"/>
      <c r="I155" s="64"/>
      <c r="J155" s="64"/>
    </row>
    <row r="156" spans="1:10" ht="15" customHeight="1" x14ac:dyDescent="0.3">
      <c r="A156" s="64"/>
      <c r="B156" s="64"/>
      <c r="C156" s="64"/>
      <c r="D156" s="64"/>
      <c r="E156" s="64"/>
      <c r="F156" s="64"/>
      <c r="G156" s="64"/>
      <c r="H156" s="64"/>
      <c r="I156" s="64"/>
      <c r="J156" s="64"/>
    </row>
    <row r="157" spans="1:10" ht="15" customHeight="1" x14ac:dyDescent="0.3">
      <c r="A157" s="7"/>
      <c r="B157" s="7"/>
      <c r="C157" s="7"/>
      <c r="D157" s="7"/>
      <c r="E157" s="7"/>
      <c r="F157" s="7"/>
      <c r="G157" s="7"/>
      <c r="H157" s="7"/>
      <c r="I157" s="7"/>
      <c r="J157" s="7"/>
    </row>
    <row r="158" spans="1:10" ht="15" customHeight="1" x14ac:dyDescent="0.3">
      <c r="A158" s="61" t="s">
        <v>198</v>
      </c>
      <c r="B158" s="61"/>
      <c r="C158" s="61"/>
      <c r="D158" s="61"/>
      <c r="E158" s="61"/>
      <c r="F158" s="61"/>
      <c r="G158" s="61"/>
      <c r="H158" s="61"/>
      <c r="I158" s="61"/>
      <c r="J158" s="61"/>
    </row>
    <row r="159" spans="1:10" ht="15" customHeight="1" x14ac:dyDescent="0.3">
      <c r="A159" s="61"/>
      <c r="B159" s="61"/>
      <c r="C159" s="61"/>
      <c r="D159" s="61"/>
      <c r="E159" s="61"/>
      <c r="F159" s="61"/>
      <c r="G159" s="61"/>
      <c r="H159" s="61"/>
      <c r="I159" s="61"/>
      <c r="J159" s="61"/>
    </row>
    <row r="180" spans="1:10" ht="15" customHeight="1" x14ac:dyDescent="0.3">
      <c r="A180" s="64" t="s">
        <v>199</v>
      </c>
      <c r="B180" s="64"/>
      <c r="C180" s="64"/>
      <c r="D180" s="64"/>
      <c r="E180" s="64"/>
      <c r="F180" s="64"/>
      <c r="G180" s="64"/>
      <c r="H180" s="64"/>
      <c r="I180" s="64"/>
      <c r="J180" s="64"/>
    </row>
    <row r="181" spans="1:10" ht="15" customHeight="1" x14ac:dyDescent="0.3">
      <c r="A181" s="64"/>
      <c r="B181" s="64"/>
      <c r="C181" s="64"/>
      <c r="D181" s="64"/>
      <c r="E181" s="64"/>
      <c r="F181" s="64"/>
      <c r="G181" s="64"/>
      <c r="H181" s="64"/>
      <c r="I181" s="64"/>
      <c r="J181" s="64"/>
    </row>
    <row r="183" spans="1:10" ht="15.6" x14ac:dyDescent="0.3">
      <c r="A183" s="2" t="s">
        <v>45</v>
      </c>
    </row>
    <row r="184" spans="1:10" ht="15" customHeight="1" x14ac:dyDescent="0.3">
      <c r="A184" s="61" t="s">
        <v>228</v>
      </c>
      <c r="B184" s="61"/>
      <c r="C184" s="61"/>
      <c r="D184" s="61"/>
      <c r="E184" s="61"/>
      <c r="F184" s="61"/>
      <c r="G184" s="61"/>
      <c r="H184" s="61"/>
      <c r="I184" s="61"/>
      <c r="J184" s="61"/>
    </row>
    <row r="185" spans="1:10" ht="15" customHeight="1" x14ac:dyDescent="0.3">
      <c r="A185" s="61"/>
      <c r="B185" s="61"/>
      <c r="C185" s="61"/>
      <c r="D185" s="61"/>
      <c r="E185" s="61"/>
      <c r="F185" s="61"/>
      <c r="G185" s="61"/>
      <c r="H185" s="61"/>
      <c r="I185" s="61"/>
      <c r="J185" s="61"/>
    </row>
    <row r="203" spans="1:10" ht="15" thickBot="1" x14ac:dyDescent="0.35"/>
    <row r="204" spans="1:10" ht="15" thickBot="1" x14ac:dyDescent="0.35">
      <c r="A204" s="24" t="str">
        <f>"Tahun "&amp;RIGHT(Calculate!D39,4)</f>
        <v>Tahun 2017</v>
      </c>
      <c r="B204" s="23">
        <f>SUM(Calculate!$D$40:$D$45)</f>
        <v>313</v>
      </c>
      <c r="C204" s="23" t="s">
        <v>46</v>
      </c>
      <c r="D204" s="65" t="str">
        <f>"Tahun "&amp;RIGHT(Calculate!E39,4)&amp;"*,**"</f>
        <v>Tahun 2018*,**</v>
      </c>
      <c r="E204" s="65"/>
      <c r="F204" s="23">
        <f>SUM(Calculate!$E$40:$E$45)</f>
        <v>67</v>
      </c>
      <c r="G204" s="23" t="s">
        <v>46</v>
      </c>
      <c r="H204" s="23"/>
      <c r="I204" s="23"/>
      <c r="J204" s="54"/>
    </row>
    <row r="205" spans="1:10" x14ac:dyDescent="0.3">
      <c r="A205" s="1" t="s">
        <v>227</v>
      </c>
      <c r="E205" s="56">
        <f>F204/B204</f>
        <v>0.21405750798722045</v>
      </c>
      <c r="F205" s="1" t="s">
        <v>200</v>
      </c>
      <c r="G205" s="57"/>
      <c r="H205" s="58"/>
    </row>
    <row r="206" spans="1:10" x14ac:dyDescent="0.3">
      <c r="A206" s="1" t="s">
        <v>226</v>
      </c>
      <c r="E206" s="56">
        <f>(B204-I206)/I206</f>
        <v>0.33191489361702126</v>
      </c>
      <c r="F206" s="1" t="s">
        <v>225</v>
      </c>
      <c r="G206" s="57"/>
      <c r="H206" s="58"/>
      <c r="I206" s="1">
        <f>SUM(Calculate!C40:C45)</f>
        <v>235</v>
      </c>
      <c r="J206" s="1" t="s">
        <v>46</v>
      </c>
    </row>
    <row r="207" spans="1:10" ht="15" customHeight="1" x14ac:dyDescent="0.3">
      <c r="A207" s="64" t="s">
        <v>229</v>
      </c>
      <c r="B207" s="64"/>
      <c r="C207" s="64"/>
      <c r="D207" s="64"/>
      <c r="E207" s="64"/>
      <c r="F207" s="64"/>
      <c r="G207" s="64"/>
      <c r="H207" s="64"/>
      <c r="I207" s="64"/>
      <c r="J207" s="64"/>
    </row>
    <row r="208" spans="1:10" ht="15" customHeight="1" x14ac:dyDescent="0.3">
      <c r="A208" s="64"/>
      <c r="B208" s="64"/>
      <c r="C208" s="64"/>
      <c r="D208" s="64"/>
      <c r="E208" s="64"/>
      <c r="F208" s="64"/>
      <c r="G208" s="64"/>
      <c r="H208" s="64"/>
      <c r="I208" s="64"/>
      <c r="J208" s="64"/>
    </row>
    <row r="209" spans="1:10" ht="15" customHeight="1" x14ac:dyDescent="0.3">
      <c r="A209" s="7"/>
      <c r="B209" s="7"/>
      <c r="C209" s="7"/>
      <c r="D209" s="7"/>
      <c r="E209" s="7"/>
      <c r="F209" s="7"/>
      <c r="G209" s="7"/>
      <c r="H209" s="7"/>
      <c r="I209" s="7"/>
      <c r="J209" s="7"/>
    </row>
    <row r="210" spans="1:10" ht="15" customHeight="1" x14ac:dyDescent="0.3">
      <c r="A210" s="7"/>
      <c r="B210" s="7"/>
      <c r="C210" s="7"/>
      <c r="D210" s="7"/>
      <c r="E210" s="7"/>
      <c r="F210" s="7"/>
      <c r="G210" s="7"/>
      <c r="H210" s="7"/>
      <c r="I210" s="7"/>
      <c r="J210" s="7"/>
    </row>
    <row r="211" spans="1:10" ht="15.6" x14ac:dyDescent="0.3">
      <c r="A211" s="2" t="s">
        <v>47</v>
      </c>
    </row>
    <row r="212" spans="1:10" ht="15" customHeight="1" x14ac:dyDescent="0.3">
      <c r="A212" s="61" t="s">
        <v>70</v>
      </c>
      <c r="B212" s="61"/>
      <c r="C212" s="61"/>
      <c r="D212" s="61"/>
      <c r="E212" s="61"/>
      <c r="F212" s="61"/>
      <c r="G212" s="61"/>
      <c r="H212" s="61"/>
      <c r="I212" s="61"/>
      <c r="J212" s="61"/>
    </row>
    <row r="213" spans="1:10" ht="15" customHeight="1" x14ac:dyDescent="0.3">
      <c r="A213" s="61"/>
      <c r="B213" s="61"/>
      <c r="C213" s="61"/>
      <c r="D213" s="61"/>
      <c r="E213" s="61"/>
      <c r="F213" s="61"/>
      <c r="G213" s="61"/>
      <c r="H213" s="61"/>
      <c r="I213" s="61"/>
      <c r="J213" s="61"/>
    </row>
    <row r="233" spans="1:10" x14ac:dyDescent="0.3">
      <c r="A233" s="3" t="s">
        <v>0</v>
      </c>
      <c r="B233" s="3">
        <v>2010</v>
      </c>
      <c r="C233" s="3">
        <f>B233+1</f>
        <v>2011</v>
      </c>
      <c r="D233" s="3">
        <f t="shared" ref="D233:J233" si="3">C233+1</f>
        <v>2012</v>
      </c>
      <c r="E233" s="3">
        <f t="shared" si="3"/>
        <v>2013</v>
      </c>
      <c r="F233" s="3">
        <f t="shared" si="3"/>
        <v>2014</v>
      </c>
      <c r="G233" s="3">
        <f t="shared" si="3"/>
        <v>2015</v>
      </c>
      <c r="H233" s="3">
        <f t="shared" si="3"/>
        <v>2016</v>
      </c>
      <c r="I233" s="3">
        <f t="shared" si="3"/>
        <v>2017</v>
      </c>
      <c r="J233" s="3">
        <f t="shared" si="3"/>
        <v>2018</v>
      </c>
    </row>
    <row r="234" spans="1:10" x14ac:dyDescent="0.3">
      <c r="A234" s="9" t="s">
        <v>49</v>
      </c>
      <c r="B234" s="3">
        <f>Calculate!C73</f>
        <v>2</v>
      </c>
      <c r="C234" s="3">
        <f>Calculate!D73</f>
        <v>10</v>
      </c>
      <c r="D234" s="3">
        <f>Calculate!E73</f>
        <v>14</v>
      </c>
      <c r="E234" s="3">
        <f>Calculate!F73</f>
        <v>8</v>
      </c>
      <c r="F234" s="3">
        <f>Calculate!G73</f>
        <v>1</v>
      </c>
      <c r="G234" s="3">
        <f>Calculate!H73</f>
        <v>45</v>
      </c>
      <c r="H234" s="3">
        <f>Calculate!I73</f>
        <v>73</v>
      </c>
      <c r="I234" s="3">
        <f>Calculate!J73</f>
        <v>60</v>
      </c>
      <c r="J234" s="3">
        <f>Calculate!K73</f>
        <v>51</v>
      </c>
    </row>
    <row r="235" spans="1:10" x14ac:dyDescent="0.3">
      <c r="A235" s="1" t="s">
        <v>1</v>
      </c>
    </row>
    <row r="236" spans="1:10" x14ac:dyDescent="0.3">
      <c r="A236" s="1" t="s">
        <v>50</v>
      </c>
      <c r="C236" s="1">
        <f>SUM(Calculate!C73:R73)</f>
        <v>264</v>
      </c>
      <c r="D236" s="1" t="s">
        <v>44</v>
      </c>
    </row>
    <row r="237" spans="1:10" ht="15" customHeight="1" x14ac:dyDescent="0.3">
      <c r="A237" s="64" t="s">
        <v>194</v>
      </c>
      <c r="B237" s="64"/>
      <c r="C237" s="64"/>
      <c r="D237" s="64"/>
      <c r="E237" s="64"/>
      <c r="F237" s="64"/>
      <c r="G237" s="64"/>
      <c r="H237" s="64"/>
      <c r="I237" s="64"/>
      <c r="J237" s="64"/>
    </row>
    <row r="238" spans="1:10" ht="15" customHeight="1" x14ac:dyDescent="0.3">
      <c r="A238" s="64"/>
      <c r="B238" s="64"/>
      <c r="C238" s="64"/>
      <c r="D238" s="64"/>
      <c r="E238" s="64"/>
      <c r="F238" s="64"/>
      <c r="G238" s="64"/>
      <c r="H238" s="64"/>
      <c r="I238" s="64"/>
      <c r="J238" s="64"/>
    </row>
    <row r="240" spans="1:10" ht="15" customHeight="1" x14ac:dyDescent="0.3">
      <c r="A240" s="61" t="s">
        <v>48</v>
      </c>
      <c r="B240" s="61"/>
      <c r="C240" s="61"/>
      <c r="D240" s="61"/>
      <c r="E240" s="61"/>
      <c r="F240" s="61"/>
      <c r="G240" s="61"/>
      <c r="H240" s="61"/>
      <c r="I240" s="61"/>
      <c r="J240" s="61"/>
    </row>
    <row r="241" spans="1:10" ht="15" customHeight="1" x14ac:dyDescent="0.3">
      <c r="A241" s="61"/>
      <c r="B241" s="61"/>
      <c r="C241" s="61"/>
      <c r="D241" s="61"/>
      <c r="E241" s="61"/>
      <c r="F241" s="61"/>
      <c r="G241" s="61"/>
      <c r="H241" s="61"/>
      <c r="I241" s="61"/>
      <c r="J241" s="61"/>
    </row>
    <row r="256" spans="1:10" ht="15" customHeight="1" x14ac:dyDescent="0.3"/>
    <row r="257" spans="1:10" ht="15" customHeight="1" x14ac:dyDescent="0.3"/>
    <row r="260" spans="1:10" ht="15" customHeight="1" x14ac:dyDescent="0.3">
      <c r="A260" s="64" t="s">
        <v>51</v>
      </c>
      <c r="B260" s="64"/>
      <c r="C260" s="64"/>
      <c r="D260" s="64"/>
      <c r="E260" s="64"/>
      <c r="F260" s="64"/>
      <c r="G260" s="64"/>
      <c r="H260" s="64"/>
      <c r="I260" s="64"/>
      <c r="J260" s="64"/>
    </row>
    <row r="261" spans="1:10" ht="15" customHeight="1" x14ac:dyDescent="0.3">
      <c r="A261" s="64"/>
      <c r="B261" s="64"/>
      <c r="C261" s="64"/>
      <c r="D261" s="64"/>
      <c r="E261" s="64"/>
      <c r="F261" s="64"/>
      <c r="G261" s="64"/>
      <c r="H261" s="64"/>
      <c r="I261" s="64"/>
      <c r="J261" s="64"/>
    </row>
    <row r="262" spans="1:10" ht="15" customHeight="1" x14ac:dyDescent="0.3">
      <c r="A262" s="7"/>
      <c r="B262" s="7"/>
      <c r="C262" s="7"/>
      <c r="D262" s="7"/>
      <c r="E262" s="7"/>
      <c r="F262" s="7"/>
      <c r="G262" s="7"/>
      <c r="H262" s="7"/>
      <c r="I262" s="7"/>
      <c r="J262" s="7"/>
    </row>
    <row r="263" spans="1:10" ht="15" customHeight="1" x14ac:dyDescent="0.3">
      <c r="A263" s="7"/>
      <c r="B263" s="7"/>
      <c r="C263" s="7"/>
      <c r="D263" s="7"/>
      <c r="E263" s="7"/>
      <c r="F263" s="7"/>
      <c r="G263" s="7"/>
      <c r="H263" s="7"/>
      <c r="I263" s="7"/>
      <c r="J263" s="7"/>
    </row>
    <row r="264" spans="1:10" ht="15" customHeight="1" x14ac:dyDescent="0.3">
      <c r="A264" s="7"/>
      <c r="B264" s="7"/>
      <c r="C264" s="7"/>
      <c r="D264" s="7"/>
      <c r="E264" s="7"/>
      <c r="F264" s="7"/>
      <c r="G264" s="7"/>
      <c r="H264" s="7"/>
      <c r="I264" s="7"/>
      <c r="J264" s="7"/>
    </row>
    <row r="265" spans="1:10" ht="15" customHeight="1" x14ac:dyDescent="0.3">
      <c r="A265" s="61" t="s">
        <v>80</v>
      </c>
      <c r="B265" s="61"/>
      <c r="C265" s="61"/>
      <c r="D265" s="61"/>
      <c r="E265" s="61"/>
      <c r="F265" s="61"/>
      <c r="G265" s="61"/>
      <c r="H265" s="61"/>
      <c r="I265" s="61"/>
      <c r="J265" s="61"/>
    </row>
    <row r="266" spans="1:10" ht="15" customHeight="1" x14ac:dyDescent="0.3">
      <c r="A266" s="61"/>
      <c r="B266" s="61"/>
      <c r="C266" s="61"/>
      <c r="D266" s="61"/>
      <c r="E266" s="61"/>
      <c r="F266" s="61"/>
      <c r="G266" s="61"/>
      <c r="H266" s="61"/>
      <c r="I266" s="61"/>
      <c r="J266" s="61"/>
    </row>
    <row r="286" spans="1:10" ht="15" customHeight="1" x14ac:dyDescent="0.3">
      <c r="A286" s="64" t="s">
        <v>81</v>
      </c>
      <c r="B286" s="64"/>
      <c r="C286" s="64"/>
      <c r="D286" s="64"/>
      <c r="E286" s="64"/>
      <c r="F286" s="64"/>
      <c r="G286" s="64"/>
      <c r="H286" s="64"/>
      <c r="I286" s="64"/>
      <c r="J286" s="64"/>
    </row>
    <row r="287" spans="1:10" ht="15" customHeight="1" x14ac:dyDescent="0.3">
      <c r="A287" s="64"/>
      <c r="B287" s="64"/>
      <c r="C287" s="64"/>
      <c r="D287" s="64"/>
      <c r="E287" s="64"/>
      <c r="F287" s="64"/>
      <c r="G287" s="64"/>
      <c r="H287" s="64"/>
      <c r="I287" s="64"/>
      <c r="J287" s="64"/>
    </row>
  </sheetData>
  <mergeCells count="20">
    <mergeCell ref="A240:J241"/>
    <mergeCell ref="A260:J261"/>
    <mergeCell ref="A265:J266"/>
    <mergeCell ref="A286:J287"/>
    <mergeCell ref="A132:J133"/>
    <mergeCell ref="A135:J136"/>
    <mergeCell ref="A155:J156"/>
    <mergeCell ref="A158:J159"/>
    <mergeCell ref="A180:J181"/>
    <mergeCell ref="D204:E204"/>
    <mergeCell ref="A184:J185"/>
    <mergeCell ref="A207:J208"/>
    <mergeCell ref="A212:J213"/>
    <mergeCell ref="A237:J238"/>
    <mergeCell ref="A110:J111"/>
    <mergeCell ref="A1:J50"/>
    <mergeCell ref="A55:J56"/>
    <mergeCell ref="A76:J77"/>
    <mergeCell ref="A79:J80"/>
    <mergeCell ref="A99:J100"/>
  </mergeCells>
  <pageMargins left="0.7" right="0.70204402515723274" top="0.75" bottom="0.75" header="0.3" footer="0.3"/>
  <pageSetup paperSize="9" scale="9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219"/>
  <sheetViews>
    <sheetView showGridLines="0" view="pageLayout" topLeftCell="A87" zoomScaleNormal="100" zoomScaleSheetLayoutView="100" workbookViewId="0">
      <selection activeCell="K114" sqref="K114"/>
    </sheetView>
  </sheetViews>
  <sheetFormatPr defaultColWidth="9.109375" defaultRowHeight="14.4" x14ac:dyDescent="0.3"/>
  <cols>
    <col min="1" max="1" width="13.109375" style="1" customWidth="1"/>
    <col min="2" max="10" width="8.109375" style="1" customWidth="1"/>
    <col min="11" max="21" width="9.109375" style="1"/>
    <col min="22" max="22" width="11" style="1" customWidth="1"/>
    <col min="23" max="42" width="9.109375" style="1"/>
    <col min="45" max="261" width="9.109375" style="1"/>
    <col min="262" max="262" width="14.5546875" style="1" customWidth="1"/>
    <col min="263" max="263" width="15.5546875" style="1" customWidth="1"/>
    <col min="264" max="264" width="16.5546875" style="1" customWidth="1"/>
    <col min="265" max="265" width="11.33203125" style="1" customWidth="1"/>
    <col min="266" max="277" width="9.109375" style="1"/>
    <col min="278" max="278" width="11" style="1" customWidth="1"/>
    <col min="279" max="517" width="9.109375" style="1"/>
    <col min="518" max="518" width="14.5546875" style="1" customWidth="1"/>
    <col min="519" max="519" width="15.5546875" style="1" customWidth="1"/>
    <col min="520" max="520" width="16.5546875" style="1" customWidth="1"/>
    <col min="521" max="521" width="11.33203125" style="1" customWidth="1"/>
    <col min="522" max="533" width="9.109375" style="1"/>
    <col min="534" max="534" width="11" style="1" customWidth="1"/>
    <col min="535" max="773" width="9.109375" style="1"/>
    <col min="774" max="774" width="14.5546875" style="1" customWidth="1"/>
    <col min="775" max="775" width="15.5546875" style="1" customWidth="1"/>
    <col min="776" max="776" width="16.5546875" style="1" customWidth="1"/>
    <col min="777" max="777" width="11.33203125" style="1" customWidth="1"/>
    <col min="778" max="789" width="9.109375" style="1"/>
    <col min="790" max="790" width="11" style="1" customWidth="1"/>
    <col min="791" max="1029" width="9.109375" style="1"/>
    <col min="1030" max="1030" width="14.5546875" style="1" customWidth="1"/>
    <col min="1031" max="1031" width="15.5546875" style="1" customWidth="1"/>
    <col min="1032" max="1032" width="16.5546875" style="1" customWidth="1"/>
    <col min="1033" max="1033" width="11.33203125" style="1" customWidth="1"/>
    <col min="1034" max="1045" width="9.109375" style="1"/>
    <col min="1046" max="1046" width="11" style="1" customWidth="1"/>
    <col min="1047" max="1285" width="9.109375" style="1"/>
    <col min="1286" max="1286" width="14.5546875" style="1" customWidth="1"/>
    <col min="1287" max="1287" width="15.5546875" style="1" customWidth="1"/>
    <col min="1288" max="1288" width="16.5546875" style="1" customWidth="1"/>
    <col min="1289" max="1289" width="11.33203125" style="1" customWidth="1"/>
    <col min="1290" max="1301" width="9.109375" style="1"/>
    <col min="1302" max="1302" width="11" style="1" customWidth="1"/>
    <col min="1303" max="1541" width="9.109375" style="1"/>
    <col min="1542" max="1542" width="14.5546875" style="1" customWidth="1"/>
    <col min="1543" max="1543" width="15.5546875" style="1" customWidth="1"/>
    <col min="1544" max="1544" width="16.5546875" style="1" customWidth="1"/>
    <col min="1545" max="1545" width="11.33203125" style="1" customWidth="1"/>
    <col min="1546" max="1557" width="9.109375" style="1"/>
    <col min="1558" max="1558" width="11" style="1" customWidth="1"/>
    <col min="1559" max="1797" width="9.109375" style="1"/>
    <col min="1798" max="1798" width="14.5546875" style="1" customWidth="1"/>
    <col min="1799" max="1799" width="15.5546875" style="1" customWidth="1"/>
    <col min="1800" max="1800" width="16.5546875" style="1" customWidth="1"/>
    <col min="1801" max="1801" width="11.33203125" style="1" customWidth="1"/>
    <col min="1802" max="1813" width="9.109375" style="1"/>
    <col min="1814" max="1814" width="11" style="1" customWidth="1"/>
    <col min="1815" max="2053" width="9.109375" style="1"/>
    <col min="2054" max="2054" width="14.5546875" style="1" customWidth="1"/>
    <col min="2055" max="2055" width="15.5546875" style="1" customWidth="1"/>
    <col min="2056" max="2056" width="16.5546875" style="1" customWidth="1"/>
    <col min="2057" max="2057" width="11.33203125" style="1" customWidth="1"/>
    <col min="2058" max="2069" width="9.109375" style="1"/>
    <col min="2070" max="2070" width="11" style="1" customWidth="1"/>
    <col min="2071" max="2309" width="9.109375" style="1"/>
    <col min="2310" max="2310" width="14.5546875" style="1" customWidth="1"/>
    <col min="2311" max="2311" width="15.5546875" style="1" customWidth="1"/>
    <col min="2312" max="2312" width="16.5546875" style="1" customWidth="1"/>
    <col min="2313" max="2313" width="11.33203125" style="1" customWidth="1"/>
    <col min="2314" max="2325" width="9.109375" style="1"/>
    <col min="2326" max="2326" width="11" style="1" customWidth="1"/>
    <col min="2327" max="2565" width="9.109375" style="1"/>
    <col min="2566" max="2566" width="14.5546875" style="1" customWidth="1"/>
    <col min="2567" max="2567" width="15.5546875" style="1" customWidth="1"/>
    <col min="2568" max="2568" width="16.5546875" style="1" customWidth="1"/>
    <col min="2569" max="2569" width="11.33203125" style="1" customWidth="1"/>
    <col min="2570" max="2581" width="9.109375" style="1"/>
    <col min="2582" max="2582" width="11" style="1" customWidth="1"/>
    <col min="2583" max="2821" width="9.109375" style="1"/>
    <col min="2822" max="2822" width="14.5546875" style="1" customWidth="1"/>
    <col min="2823" max="2823" width="15.5546875" style="1" customWidth="1"/>
    <col min="2824" max="2824" width="16.5546875" style="1" customWidth="1"/>
    <col min="2825" max="2825" width="11.33203125" style="1" customWidth="1"/>
    <col min="2826" max="2837" width="9.109375" style="1"/>
    <col min="2838" max="2838" width="11" style="1" customWidth="1"/>
    <col min="2839" max="3077" width="9.109375" style="1"/>
    <col min="3078" max="3078" width="14.5546875" style="1" customWidth="1"/>
    <col min="3079" max="3079" width="15.5546875" style="1" customWidth="1"/>
    <col min="3080" max="3080" width="16.5546875" style="1" customWidth="1"/>
    <col min="3081" max="3081" width="11.33203125" style="1" customWidth="1"/>
    <col min="3082" max="3093" width="9.109375" style="1"/>
    <col min="3094" max="3094" width="11" style="1" customWidth="1"/>
    <col min="3095" max="3333" width="9.109375" style="1"/>
    <col min="3334" max="3334" width="14.5546875" style="1" customWidth="1"/>
    <col min="3335" max="3335" width="15.5546875" style="1" customWidth="1"/>
    <col min="3336" max="3336" width="16.5546875" style="1" customWidth="1"/>
    <col min="3337" max="3337" width="11.33203125" style="1" customWidth="1"/>
    <col min="3338" max="3349" width="9.109375" style="1"/>
    <col min="3350" max="3350" width="11" style="1" customWidth="1"/>
    <col min="3351" max="3589" width="9.109375" style="1"/>
    <col min="3590" max="3590" width="14.5546875" style="1" customWidth="1"/>
    <col min="3591" max="3591" width="15.5546875" style="1" customWidth="1"/>
    <col min="3592" max="3592" width="16.5546875" style="1" customWidth="1"/>
    <col min="3593" max="3593" width="11.33203125" style="1" customWidth="1"/>
    <col min="3594" max="3605" width="9.109375" style="1"/>
    <col min="3606" max="3606" width="11" style="1" customWidth="1"/>
    <col min="3607" max="3845" width="9.109375" style="1"/>
    <col min="3846" max="3846" width="14.5546875" style="1" customWidth="1"/>
    <col min="3847" max="3847" width="15.5546875" style="1" customWidth="1"/>
    <col min="3848" max="3848" width="16.5546875" style="1" customWidth="1"/>
    <col min="3849" max="3849" width="11.33203125" style="1" customWidth="1"/>
    <col min="3850" max="3861" width="9.109375" style="1"/>
    <col min="3862" max="3862" width="11" style="1" customWidth="1"/>
    <col min="3863" max="4101" width="9.109375" style="1"/>
    <col min="4102" max="4102" width="14.5546875" style="1" customWidth="1"/>
    <col min="4103" max="4103" width="15.5546875" style="1" customWidth="1"/>
    <col min="4104" max="4104" width="16.5546875" style="1" customWidth="1"/>
    <col min="4105" max="4105" width="11.33203125" style="1" customWidth="1"/>
    <col min="4106" max="4117" width="9.109375" style="1"/>
    <col min="4118" max="4118" width="11" style="1" customWidth="1"/>
    <col min="4119" max="4357" width="9.109375" style="1"/>
    <col min="4358" max="4358" width="14.5546875" style="1" customWidth="1"/>
    <col min="4359" max="4359" width="15.5546875" style="1" customWidth="1"/>
    <col min="4360" max="4360" width="16.5546875" style="1" customWidth="1"/>
    <col min="4361" max="4361" width="11.33203125" style="1" customWidth="1"/>
    <col min="4362" max="4373" width="9.109375" style="1"/>
    <col min="4374" max="4374" width="11" style="1" customWidth="1"/>
    <col min="4375" max="4613" width="9.109375" style="1"/>
    <col min="4614" max="4614" width="14.5546875" style="1" customWidth="1"/>
    <col min="4615" max="4615" width="15.5546875" style="1" customWidth="1"/>
    <col min="4616" max="4616" width="16.5546875" style="1" customWidth="1"/>
    <col min="4617" max="4617" width="11.33203125" style="1" customWidth="1"/>
    <col min="4618" max="4629" width="9.109375" style="1"/>
    <col min="4630" max="4630" width="11" style="1" customWidth="1"/>
    <col min="4631" max="4869" width="9.109375" style="1"/>
    <col min="4870" max="4870" width="14.5546875" style="1" customWidth="1"/>
    <col min="4871" max="4871" width="15.5546875" style="1" customWidth="1"/>
    <col min="4872" max="4872" width="16.5546875" style="1" customWidth="1"/>
    <col min="4873" max="4873" width="11.33203125" style="1" customWidth="1"/>
    <col min="4874" max="4885" width="9.109375" style="1"/>
    <col min="4886" max="4886" width="11" style="1" customWidth="1"/>
    <col min="4887" max="5125" width="9.109375" style="1"/>
    <col min="5126" max="5126" width="14.5546875" style="1" customWidth="1"/>
    <col min="5127" max="5127" width="15.5546875" style="1" customWidth="1"/>
    <col min="5128" max="5128" width="16.5546875" style="1" customWidth="1"/>
    <col min="5129" max="5129" width="11.33203125" style="1" customWidth="1"/>
    <col min="5130" max="5141" width="9.109375" style="1"/>
    <col min="5142" max="5142" width="11" style="1" customWidth="1"/>
    <col min="5143" max="5381" width="9.109375" style="1"/>
    <col min="5382" max="5382" width="14.5546875" style="1" customWidth="1"/>
    <col min="5383" max="5383" width="15.5546875" style="1" customWidth="1"/>
    <col min="5384" max="5384" width="16.5546875" style="1" customWidth="1"/>
    <col min="5385" max="5385" width="11.33203125" style="1" customWidth="1"/>
    <col min="5386" max="5397" width="9.109375" style="1"/>
    <col min="5398" max="5398" width="11" style="1" customWidth="1"/>
    <col min="5399" max="5637" width="9.109375" style="1"/>
    <col min="5638" max="5638" width="14.5546875" style="1" customWidth="1"/>
    <col min="5639" max="5639" width="15.5546875" style="1" customWidth="1"/>
    <col min="5640" max="5640" width="16.5546875" style="1" customWidth="1"/>
    <col min="5641" max="5641" width="11.33203125" style="1" customWidth="1"/>
    <col min="5642" max="5653" width="9.109375" style="1"/>
    <col min="5654" max="5654" width="11" style="1" customWidth="1"/>
    <col min="5655" max="5893" width="9.109375" style="1"/>
    <col min="5894" max="5894" width="14.5546875" style="1" customWidth="1"/>
    <col min="5895" max="5895" width="15.5546875" style="1" customWidth="1"/>
    <col min="5896" max="5896" width="16.5546875" style="1" customWidth="1"/>
    <col min="5897" max="5897" width="11.33203125" style="1" customWidth="1"/>
    <col min="5898" max="5909" width="9.109375" style="1"/>
    <col min="5910" max="5910" width="11" style="1" customWidth="1"/>
    <col min="5911" max="6149" width="9.109375" style="1"/>
    <col min="6150" max="6150" width="14.5546875" style="1" customWidth="1"/>
    <col min="6151" max="6151" width="15.5546875" style="1" customWidth="1"/>
    <col min="6152" max="6152" width="16.5546875" style="1" customWidth="1"/>
    <col min="6153" max="6153" width="11.33203125" style="1" customWidth="1"/>
    <col min="6154" max="6165" width="9.109375" style="1"/>
    <col min="6166" max="6166" width="11" style="1" customWidth="1"/>
    <col min="6167" max="6405" width="9.109375" style="1"/>
    <col min="6406" max="6406" width="14.5546875" style="1" customWidth="1"/>
    <col min="6407" max="6407" width="15.5546875" style="1" customWidth="1"/>
    <col min="6408" max="6408" width="16.5546875" style="1" customWidth="1"/>
    <col min="6409" max="6409" width="11.33203125" style="1" customWidth="1"/>
    <col min="6410" max="6421" width="9.109375" style="1"/>
    <col min="6422" max="6422" width="11" style="1" customWidth="1"/>
    <col min="6423" max="6661" width="9.109375" style="1"/>
    <col min="6662" max="6662" width="14.5546875" style="1" customWidth="1"/>
    <col min="6663" max="6663" width="15.5546875" style="1" customWidth="1"/>
    <col min="6664" max="6664" width="16.5546875" style="1" customWidth="1"/>
    <col min="6665" max="6665" width="11.33203125" style="1" customWidth="1"/>
    <col min="6666" max="6677" width="9.109375" style="1"/>
    <col min="6678" max="6678" width="11" style="1" customWidth="1"/>
    <col min="6679" max="6917" width="9.109375" style="1"/>
    <col min="6918" max="6918" width="14.5546875" style="1" customWidth="1"/>
    <col min="6919" max="6919" width="15.5546875" style="1" customWidth="1"/>
    <col min="6920" max="6920" width="16.5546875" style="1" customWidth="1"/>
    <col min="6921" max="6921" width="11.33203125" style="1" customWidth="1"/>
    <col min="6922" max="6933" width="9.109375" style="1"/>
    <col min="6934" max="6934" width="11" style="1" customWidth="1"/>
    <col min="6935" max="7173" width="9.109375" style="1"/>
    <col min="7174" max="7174" width="14.5546875" style="1" customWidth="1"/>
    <col min="7175" max="7175" width="15.5546875" style="1" customWidth="1"/>
    <col min="7176" max="7176" width="16.5546875" style="1" customWidth="1"/>
    <col min="7177" max="7177" width="11.33203125" style="1" customWidth="1"/>
    <col min="7178" max="7189" width="9.109375" style="1"/>
    <col min="7190" max="7190" width="11" style="1" customWidth="1"/>
    <col min="7191" max="7429" width="9.109375" style="1"/>
    <col min="7430" max="7430" width="14.5546875" style="1" customWidth="1"/>
    <col min="7431" max="7431" width="15.5546875" style="1" customWidth="1"/>
    <col min="7432" max="7432" width="16.5546875" style="1" customWidth="1"/>
    <col min="7433" max="7433" width="11.33203125" style="1" customWidth="1"/>
    <col min="7434" max="7445" width="9.109375" style="1"/>
    <col min="7446" max="7446" width="11" style="1" customWidth="1"/>
    <col min="7447" max="7685" width="9.109375" style="1"/>
    <col min="7686" max="7686" width="14.5546875" style="1" customWidth="1"/>
    <col min="7687" max="7687" width="15.5546875" style="1" customWidth="1"/>
    <col min="7688" max="7688" width="16.5546875" style="1" customWidth="1"/>
    <col min="7689" max="7689" width="11.33203125" style="1" customWidth="1"/>
    <col min="7690" max="7701" width="9.109375" style="1"/>
    <col min="7702" max="7702" width="11" style="1" customWidth="1"/>
    <col min="7703" max="7941" width="9.109375" style="1"/>
    <col min="7942" max="7942" width="14.5546875" style="1" customWidth="1"/>
    <col min="7943" max="7943" width="15.5546875" style="1" customWidth="1"/>
    <col min="7944" max="7944" width="16.5546875" style="1" customWidth="1"/>
    <col min="7945" max="7945" width="11.33203125" style="1" customWidth="1"/>
    <col min="7946" max="7957" width="9.109375" style="1"/>
    <col min="7958" max="7958" width="11" style="1" customWidth="1"/>
    <col min="7959" max="8197" width="9.109375" style="1"/>
    <col min="8198" max="8198" width="14.5546875" style="1" customWidth="1"/>
    <col min="8199" max="8199" width="15.5546875" style="1" customWidth="1"/>
    <col min="8200" max="8200" width="16.5546875" style="1" customWidth="1"/>
    <col min="8201" max="8201" width="11.33203125" style="1" customWidth="1"/>
    <col min="8202" max="8213" width="9.109375" style="1"/>
    <col min="8214" max="8214" width="11" style="1" customWidth="1"/>
    <col min="8215" max="8453" width="9.109375" style="1"/>
    <col min="8454" max="8454" width="14.5546875" style="1" customWidth="1"/>
    <col min="8455" max="8455" width="15.5546875" style="1" customWidth="1"/>
    <col min="8456" max="8456" width="16.5546875" style="1" customWidth="1"/>
    <col min="8457" max="8457" width="11.33203125" style="1" customWidth="1"/>
    <col min="8458" max="8469" width="9.109375" style="1"/>
    <col min="8470" max="8470" width="11" style="1" customWidth="1"/>
    <col min="8471" max="8709" width="9.109375" style="1"/>
    <col min="8710" max="8710" width="14.5546875" style="1" customWidth="1"/>
    <col min="8711" max="8711" width="15.5546875" style="1" customWidth="1"/>
    <col min="8712" max="8712" width="16.5546875" style="1" customWidth="1"/>
    <col min="8713" max="8713" width="11.33203125" style="1" customWidth="1"/>
    <col min="8714" max="8725" width="9.109375" style="1"/>
    <col min="8726" max="8726" width="11" style="1" customWidth="1"/>
    <col min="8727" max="8965" width="9.109375" style="1"/>
    <col min="8966" max="8966" width="14.5546875" style="1" customWidth="1"/>
    <col min="8967" max="8967" width="15.5546875" style="1" customWidth="1"/>
    <col min="8968" max="8968" width="16.5546875" style="1" customWidth="1"/>
    <col min="8969" max="8969" width="11.33203125" style="1" customWidth="1"/>
    <col min="8970" max="8981" width="9.109375" style="1"/>
    <col min="8982" max="8982" width="11" style="1" customWidth="1"/>
    <col min="8983" max="9221" width="9.109375" style="1"/>
    <col min="9222" max="9222" width="14.5546875" style="1" customWidth="1"/>
    <col min="9223" max="9223" width="15.5546875" style="1" customWidth="1"/>
    <col min="9224" max="9224" width="16.5546875" style="1" customWidth="1"/>
    <col min="9225" max="9225" width="11.33203125" style="1" customWidth="1"/>
    <col min="9226" max="9237" width="9.109375" style="1"/>
    <col min="9238" max="9238" width="11" style="1" customWidth="1"/>
    <col min="9239" max="9477" width="9.109375" style="1"/>
    <col min="9478" max="9478" width="14.5546875" style="1" customWidth="1"/>
    <col min="9479" max="9479" width="15.5546875" style="1" customWidth="1"/>
    <col min="9480" max="9480" width="16.5546875" style="1" customWidth="1"/>
    <col min="9481" max="9481" width="11.33203125" style="1" customWidth="1"/>
    <col min="9482" max="9493" width="9.109375" style="1"/>
    <col min="9494" max="9494" width="11" style="1" customWidth="1"/>
    <col min="9495" max="9733" width="9.109375" style="1"/>
    <col min="9734" max="9734" width="14.5546875" style="1" customWidth="1"/>
    <col min="9735" max="9735" width="15.5546875" style="1" customWidth="1"/>
    <col min="9736" max="9736" width="16.5546875" style="1" customWidth="1"/>
    <col min="9737" max="9737" width="11.33203125" style="1" customWidth="1"/>
    <col min="9738" max="9749" width="9.109375" style="1"/>
    <col min="9750" max="9750" width="11" style="1" customWidth="1"/>
    <col min="9751" max="9989" width="9.109375" style="1"/>
    <col min="9990" max="9990" width="14.5546875" style="1" customWidth="1"/>
    <col min="9991" max="9991" width="15.5546875" style="1" customWidth="1"/>
    <col min="9992" max="9992" width="16.5546875" style="1" customWidth="1"/>
    <col min="9993" max="9993" width="11.33203125" style="1" customWidth="1"/>
    <col min="9994" max="10005" width="9.109375" style="1"/>
    <col min="10006" max="10006" width="11" style="1" customWidth="1"/>
    <col min="10007" max="10245" width="9.109375" style="1"/>
    <col min="10246" max="10246" width="14.5546875" style="1" customWidth="1"/>
    <col min="10247" max="10247" width="15.5546875" style="1" customWidth="1"/>
    <col min="10248" max="10248" width="16.5546875" style="1" customWidth="1"/>
    <col min="10249" max="10249" width="11.33203125" style="1" customWidth="1"/>
    <col min="10250" max="10261" width="9.109375" style="1"/>
    <col min="10262" max="10262" width="11" style="1" customWidth="1"/>
    <col min="10263" max="10501" width="9.109375" style="1"/>
    <col min="10502" max="10502" width="14.5546875" style="1" customWidth="1"/>
    <col min="10503" max="10503" width="15.5546875" style="1" customWidth="1"/>
    <col min="10504" max="10504" width="16.5546875" style="1" customWidth="1"/>
    <col min="10505" max="10505" width="11.33203125" style="1" customWidth="1"/>
    <col min="10506" max="10517" width="9.109375" style="1"/>
    <col min="10518" max="10518" width="11" style="1" customWidth="1"/>
    <col min="10519" max="10757" width="9.109375" style="1"/>
    <col min="10758" max="10758" width="14.5546875" style="1" customWidth="1"/>
    <col min="10759" max="10759" width="15.5546875" style="1" customWidth="1"/>
    <col min="10760" max="10760" width="16.5546875" style="1" customWidth="1"/>
    <col min="10761" max="10761" width="11.33203125" style="1" customWidth="1"/>
    <col min="10762" max="10773" width="9.109375" style="1"/>
    <col min="10774" max="10774" width="11" style="1" customWidth="1"/>
    <col min="10775" max="11013" width="9.109375" style="1"/>
    <col min="11014" max="11014" width="14.5546875" style="1" customWidth="1"/>
    <col min="11015" max="11015" width="15.5546875" style="1" customWidth="1"/>
    <col min="11016" max="11016" width="16.5546875" style="1" customWidth="1"/>
    <col min="11017" max="11017" width="11.33203125" style="1" customWidth="1"/>
    <col min="11018" max="11029" width="9.109375" style="1"/>
    <col min="11030" max="11030" width="11" style="1" customWidth="1"/>
    <col min="11031" max="11269" width="9.109375" style="1"/>
    <col min="11270" max="11270" width="14.5546875" style="1" customWidth="1"/>
    <col min="11271" max="11271" width="15.5546875" style="1" customWidth="1"/>
    <col min="11272" max="11272" width="16.5546875" style="1" customWidth="1"/>
    <col min="11273" max="11273" width="11.33203125" style="1" customWidth="1"/>
    <col min="11274" max="11285" width="9.109375" style="1"/>
    <col min="11286" max="11286" width="11" style="1" customWidth="1"/>
    <col min="11287" max="11525" width="9.109375" style="1"/>
    <col min="11526" max="11526" width="14.5546875" style="1" customWidth="1"/>
    <col min="11527" max="11527" width="15.5546875" style="1" customWidth="1"/>
    <col min="11528" max="11528" width="16.5546875" style="1" customWidth="1"/>
    <col min="11529" max="11529" width="11.33203125" style="1" customWidth="1"/>
    <col min="11530" max="11541" width="9.109375" style="1"/>
    <col min="11542" max="11542" width="11" style="1" customWidth="1"/>
    <col min="11543" max="11781" width="9.109375" style="1"/>
    <col min="11782" max="11782" width="14.5546875" style="1" customWidth="1"/>
    <col min="11783" max="11783" width="15.5546875" style="1" customWidth="1"/>
    <col min="11784" max="11784" width="16.5546875" style="1" customWidth="1"/>
    <col min="11785" max="11785" width="11.33203125" style="1" customWidth="1"/>
    <col min="11786" max="11797" width="9.109375" style="1"/>
    <col min="11798" max="11798" width="11" style="1" customWidth="1"/>
    <col min="11799" max="12037" width="9.109375" style="1"/>
    <col min="12038" max="12038" width="14.5546875" style="1" customWidth="1"/>
    <col min="12039" max="12039" width="15.5546875" style="1" customWidth="1"/>
    <col min="12040" max="12040" width="16.5546875" style="1" customWidth="1"/>
    <col min="12041" max="12041" width="11.33203125" style="1" customWidth="1"/>
    <col min="12042" max="12053" width="9.109375" style="1"/>
    <col min="12054" max="12054" width="11" style="1" customWidth="1"/>
    <col min="12055" max="12293" width="9.109375" style="1"/>
    <col min="12294" max="12294" width="14.5546875" style="1" customWidth="1"/>
    <col min="12295" max="12295" width="15.5546875" style="1" customWidth="1"/>
    <col min="12296" max="12296" width="16.5546875" style="1" customWidth="1"/>
    <col min="12297" max="12297" width="11.33203125" style="1" customWidth="1"/>
    <col min="12298" max="12309" width="9.109375" style="1"/>
    <col min="12310" max="12310" width="11" style="1" customWidth="1"/>
    <col min="12311" max="12549" width="9.109375" style="1"/>
    <col min="12550" max="12550" width="14.5546875" style="1" customWidth="1"/>
    <col min="12551" max="12551" width="15.5546875" style="1" customWidth="1"/>
    <col min="12552" max="12552" width="16.5546875" style="1" customWidth="1"/>
    <col min="12553" max="12553" width="11.33203125" style="1" customWidth="1"/>
    <col min="12554" max="12565" width="9.109375" style="1"/>
    <col min="12566" max="12566" width="11" style="1" customWidth="1"/>
    <col min="12567" max="12805" width="9.109375" style="1"/>
    <col min="12806" max="12806" width="14.5546875" style="1" customWidth="1"/>
    <col min="12807" max="12807" width="15.5546875" style="1" customWidth="1"/>
    <col min="12808" max="12808" width="16.5546875" style="1" customWidth="1"/>
    <col min="12809" max="12809" width="11.33203125" style="1" customWidth="1"/>
    <col min="12810" max="12821" width="9.109375" style="1"/>
    <col min="12822" max="12822" width="11" style="1" customWidth="1"/>
    <col min="12823" max="13061" width="9.109375" style="1"/>
    <col min="13062" max="13062" width="14.5546875" style="1" customWidth="1"/>
    <col min="13063" max="13063" width="15.5546875" style="1" customWidth="1"/>
    <col min="13064" max="13064" width="16.5546875" style="1" customWidth="1"/>
    <col min="13065" max="13065" width="11.33203125" style="1" customWidth="1"/>
    <col min="13066" max="13077" width="9.109375" style="1"/>
    <col min="13078" max="13078" width="11" style="1" customWidth="1"/>
    <col min="13079" max="13317" width="9.109375" style="1"/>
    <col min="13318" max="13318" width="14.5546875" style="1" customWidth="1"/>
    <col min="13319" max="13319" width="15.5546875" style="1" customWidth="1"/>
    <col min="13320" max="13320" width="16.5546875" style="1" customWidth="1"/>
    <col min="13321" max="13321" width="11.33203125" style="1" customWidth="1"/>
    <col min="13322" max="13333" width="9.109375" style="1"/>
    <col min="13334" max="13334" width="11" style="1" customWidth="1"/>
    <col min="13335" max="13573" width="9.109375" style="1"/>
    <col min="13574" max="13574" width="14.5546875" style="1" customWidth="1"/>
    <col min="13575" max="13575" width="15.5546875" style="1" customWidth="1"/>
    <col min="13576" max="13576" width="16.5546875" style="1" customWidth="1"/>
    <col min="13577" max="13577" width="11.33203125" style="1" customWidth="1"/>
    <col min="13578" max="13589" width="9.109375" style="1"/>
    <col min="13590" max="13590" width="11" style="1" customWidth="1"/>
    <col min="13591" max="13829" width="9.109375" style="1"/>
    <col min="13830" max="13830" width="14.5546875" style="1" customWidth="1"/>
    <col min="13831" max="13831" width="15.5546875" style="1" customWidth="1"/>
    <col min="13832" max="13832" width="16.5546875" style="1" customWidth="1"/>
    <col min="13833" max="13833" width="11.33203125" style="1" customWidth="1"/>
    <col min="13834" max="13845" width="9.109375" style="1"/>
    <col min="13846" max="13846" width="11" style="1" customWidth="1"/>
    <col min="13847" max="14085" width="9.109375" style="1"/>
    <col min="14086" max="14086" width="14.5546875" style="1" customWidth="1"/>
    <col min="14087" max="14087" width="15.5546875" style="1" customWidth="1"/>
    <col min="14088" max="14088" width="16.5546875" style="1" customWidth="1"/>
    <col min="14089" max="14089" width="11.33203125" style="1" customWidth="1"/>
    <col min="14090" max="14101" width="9.109375" style="1"/>
    <col min="14102" max="14102" width="11" style="1" customWidth="1"/>
    <col min="14103" max="14341" width="9.109375" style="1"/>
    <col min="14342" max="14342" width="14.5546875" style="1" customWidth="1"/>
    <col min="14343" max="14343" width="15.5546875" style="1" customWidth="1"/>
    <col min="14344" max="14344" width="16.5546875" style="1" customWidth="1"/>
    <col min="14345" max="14345" width="11.33203125" style="1" customWidth="1"/>
    <col min="14346" max="14357" width="9.109375" style="1"/>
    <col min="14358" max="14358" width="11" style="1" customWidth="1"/>
    <col min="14359" max="14597" width="9.109375" style="1"/>
    <col min="14598" max="14598" width="14.5546875" style="1" customWidth="1"/>
    <col min="14599" max="14599" width="15.5546875" style="1" customWidth="1"/>
    <col min="14600" max="14600" width="16.5546875" style="1" customWidth="1"/>
    <col min="14601" max="14601" width="11.33203125" style="1" customWidth="1"/>
    <col min="14602" max="14613" width="9.109375" style="1"/>
    <col min="14614" max="14614" width="11" style="1" customWidth="1"/>
    <col min="14615" max="14853" width="9.109375" style="1"/>
    <col min="14854" max="14854" width="14.5546875" style="1" customWidth="1"/>
    <col min="14855" max="14855" width="15.5546875" style="1" customWidth="1"/>
    <col min="14856" max="14856" width="16.5546875" style="1" customWidth="1"/>
    <col min="14857" max="14857" width="11.33203125" style="1" customWidth="1"/>
    <col min="14858" max="14869" width="9.109375" style="1"/>
    <col min="14870" max="14870" width="11" style="1" customWidth="1"/>
    <col min="14871" max="15109" width="9.109375" style="1"/>
    <col min="15110" max="15110" width="14.5546875" style="1" customWidth="1"/>
    <col min="15111" max="15111" width="15.5546875" style="1" customWidth="1"/>
    <col min="15112" max="15112" width="16.5546875" style="1" customWidth="1"/>
    <col min="15113" max="15113" width="11.33203125" style="1" customWidth="1"/>
    <col min="15114" max="15125" width="9.109375" style="1"/>
    <col min="15126" max="15126" width="11" style="1" customWidth="1"/>
    <col min="15127" max="15365" width="9.109375" style="1"/>
    <col min="15366" max="15366" width="14.5546875" style="1" customWidth="1"/>
    <col min="15367" max="15367" width="15.5546875" style="1" customWidth="1"/>
    <col min="15368" max="15368" width="16.5546875" style="1" customWidth="1"/>
    <col min="15369" max="15369" width="11.33203125" style="1" customWidth="1"/>
    <col min="15370" max="15381" width="9.109375" style="1"/>
    <col min="15382" max="15382" width="11" style="1" customWidth="1"/>
    <col min="15383" max="15621" width="9.109375" style="1"/>
    <col min="15622" max="15622" width="14.5546875" style="1" customWidth="1"/>
    <col min="15623" max="15623" width="15.5546875" style="1" customWidth="1"/>
    <col min="15624" max="15624" width="16.5546875" style="1" customWidth="1"/>
    <col min="15625" max="15625" width="11.33203125" style="1" customWidth="1"/>
    <col min="15626" max="15637" width="9.109375" style="1"/>
    <col min="15638" max="15638" width="11" style="1" customWidth="1"/>
    <col min="15639" max="15877" width="9.109375" style="1"/>
    <col min="15878" max="15878" width="14.5546875" style="1" customWidth="1"/>
    <col min="15879" max="15879" width="15.5546875" style="1" customWidth="1"/>
    <col min="15880" max="15880" width="16.5546875" style="1" customWidth="1"/>
    <col min="15881" max="15881" width="11.33203125" style="1" customWidth="1"/>
    <col min="15882" max="15893" width="9.109375" style="1"/>
    <col min="15894" max="15894" width="11" style="1" customWidth="1"/>
    <col min="15895" max="16133" width="9.109375" style="1"/>
    <col min="16134" max="16134" width="14.5546875" style="1" customWidth="1"/>
    <col min="16135" max="16135" width="15.5546875" style="1" customWidth="1"/>
    <col min="16136" max="16136" width="16.5546875" style="1" customWidth="1"/>
    <col min="16137" max="16137" width="11.33203125" style="1" customWidth="1"/>
    <col min="16138" max="16149" width="9.109375" style="1"/>
    <col min="16150" max="16150" width="11" style="1" customWidth="1"/>
    <col min="16151" max="16384" width="9.109375" style="1"/>
  </cols>
  <sheetData>
    <row r="1" spans="1:44" ht="15" customHeight="1" x14ac:dyDescent="0.3">
      <c r="A1" s="63" t="s">
        <v>16</v>
      </c>
      <c r="B1" s="63"/>
      <c r="C1" s="63"/>
      <c r="D1" s="63"/>
      <c r="E1" s="63"/>
      <c r="F1" s="63"/>
      <c r="G1" s="63"/>
      <c r="H1" s="63"/>
      <c r="I1" s="63"/>
      <c r="J1" s="63"/>
    </row>
    <row r="2" spans="1:44" ht="15" customHeight="1" x14ac:dyDescent="0.3">
      <c r="A2" s="63"/>
      <c r="B2" s="63"/>
      <c r="C2" s="63"/>
      <c r="D2" s="63"/>
      <c r="E2" s="63"/>
      <c r="F2" s="63"/>
      <c r="G2" s="63"/>
      <c r="H2" s="63"/>
      <c r="I2" s="63"/>
      <c r="J2" s="63"/>
    </row>
    <row r="3" spans="1:44" ht="15" customHeight="1" x14ac:dyDescent="0.3">
      <c r="A3" s="63"/>
      <c r="B3" s="63"/>
      <c r="C3" s="63"/>
      <c r="D3" s="63"/>
      <c r="E3" s="63"/>
      <c r="F3" s="63"/>
      <c r="G3" s="63"/>
      <c r="H3" s="63"/>
      <c r="I3" s="63"/>
      <c r="J3" s="63"/>
    </row>
    <row r="4" spans="1:44" ht="15" customHeight="1" x14ac:dyDescent="0.3">
      <c r="A4" s="63"/>
      <c r="B4" s="63"/>
      <c r="C4" s="63"/>
      <c r="D4" s="63"/>
      <c r="E4" s="63"/>
      <c r="F4" s="63"/>
      <c r="G4" s="63"/>
      <c r="H4" s="63"/>
      <c r="I4" s="63"/>
      <c r="J4" s="63"/>
    </row>
    <row r="5" spans="1:44" ht="15" customHeight="1" x14ac:dyDescent="0.3">
      <c r="A5" s="63"/>
      <c r="B5" s="63"/>
      <c r="C5" s="63"/>
      <c r="D5" s="63"/>
      <c r="E5" s="63"/>
      <c r="F5" s="63"/>
      <c r="G5" s="63"/>
      <c r="H5" s="63"/>
      <c r="I5" s="63"/>
      <c r="J5" s="63"/>
    </row>
    <row r="6" spans="1:44" ht="15" customHeight="1" x14ac:dyDescent="0.3">
      <c r="A6" s="63"/>
      <c r="B6" s="63"/>
      <c r="C6" s="63"/>
      <c r="D6" s="63"/>
      <c r="E6" s="63"/>
      <c r="F6" s="63"/>
      <c r="G6" s="63"/>
      <c r="H6" s="63"/>
      <c r="I6" s="63"/>
      <c r="J6" s="63"/>
    </row>
    <row r="7" spans="1:44" ht="15" customHeight="1" x14ac:dyDescent="0.3">
      <c r="A7" s="63"/>
      <c r="B7" s="63"/>
      <c r="C7" s="63"/>
      <c r="D7" s="63"/>
      <c r="E7" s="63"/>
      <c r="F7" s="63"/>
      <c r="G7" s="63"/>
      <c r="H7" s="63"/>
      <c r="I7" s="63"/>
      <c r="J7" s="63"/>
    </row>
    <row r="8" spans="1:44" ht="15" customHeight="1" x14ac:dyDescent="0.3">
      <c r="A8" s="63"/>
      <c r="B8" s="63"/>
      <c r="C8" s="63"/>
      <c r="D8" s="63"/>
      <c r="E8" s="63"/>
      <c r="F8" s="63"/>
      <c r="G8" s="63"/>
      <c r="H8" s="63"/>
      <c r="I8" s="63"/>
      <c r="J8" s="63"/>
    </row>
    <row r="9" spans="1:44" ht="15" customHeight="1" x14ac:dyDescent="0.3">
      <c r="A9" s="63"/>
      <c r="B9" s="63"/>
      <c r="C9" s="63"/>
      <c r="D9" s="63"/>
      <c r="E9" s="63"/>
      <c r="F9" s="63"/>
      <c r="G9" s="63"/>
      <c r="H9" s="63"/>
      <c r="I9" s="63"/>
      <c r="J9" s="63"/>
    </row>
    <row r="10" spans="1:44" ht="15" customHeight="1" x14ac:dyDescent="0.3">
      <c r="A10" s="63"/>
      <c r="B10" s="63"/>
      <c r="C10" s="63"/>
      <c r="D10" s="63"/>
      <c r="E10" s="63"/>
      <c r="F10" s="63"/>
      <c r="G10" s="63"/>
      <c r="H10" s="63"/>
      <c r="I10" s="63"/>
      <c r="J10" s="63"/>
      <c r="AI10"/>
      <c r="AJ10"/>
      <c r="AQ10" s="1"/>
      <c r="AR10" s="1"/>
    </row>
    <row r="11" spans="1:44" ht="15" customHeight="1" x14ac:dyDescent="0.3">
      <c r="A11" s="63"/>
      <c r="B11" s="63"/>
      <c r="C11" s="63"/>
      <c r="D11" s="63"/>
      <c r="E11" s="63"/>
      <c r="F11" s="63"/>
      <c r="G11" s="63"/>
      <c r="H11" s="63"/>
      <c r="I11" s="63"/>
      <c r="J11" s="63"/>
      <c r="AI11"/>
      <c r="AJ11"/>
      <c r="AQ11" s="1"/>
      <c r="AR11" s="1"/>
    </row>
    <row r="12" spans="1:44" ht="24.75" customHeight="1" x14ac:dyDescent="0.3">
      <c r="A12" s="63"/>
      <c r="B12" s="63"/>
      <c r="C12" s="63"/>
      <c r="D12" s="63"/>
      <c r="E12" s="63"/>
      <c r="F12" s="63"/>
      <c r="G12" s="63"/>
      <c r="H12" s="63"/>
      <c r="I12" s="63"/>
      <c r="J12" s="63"/>
      <c r="AI12"/>
      <c r="AJ12"/>
      <c r="AQ12" s="1"/>
      <c r="AR12" s="1"/>
    </row>
    <row r="13" spans="1:44" ht="15" customHeight="1" x14ac:dyDescent="0.3">
      <c r="A13" s="63"/>
      <c r="B13" s="63"/>
      <c r="C13" s="63"/>
      <c r="D13" s="63"/>
      <c r="E13" s="63"/>
      <c r="F13" s="63"/>
      <c r="G13" s="63"/>
      <c r="H13" s="63"/>
      <c r="I13" s="63"/>
      <c r="J13" s="63"/>
      <c r="AI13"/>
      <c r="AJ13"/>
      <c r="AQ13" s="1"/>
      <c r="AR13" s="1"/>
    </row>
    <row r="14" spans="1:44" ht="15" customHeight="1" x14ac:dyDescent="0.3">
      <c r="A14" s="63"/>
      <c r="B14" s="63"/>
      <c r="C14" s="63"/>
      <c r="D14" s="63"/>
      <c r="E14" s="63"/>
      <c r="F14" s="63"/>
      <c r="G14" s="63"/>
      <c r="H14" s="63"/>
      <c r="I14" s="63"/>
      <c r="J14" s="63"/>
      <c r="AI14"/>
      <c r="AJ14"/>
      <c r="AQ14" s="1"/>
      <c r="AR14" s="1"/>
    </row>
    <row r="15" spans="1:44" ht="15" customHeight="1" x14ac:dyDescent="0.3">
      <c r="A15" s="63"/>
      <c r="B15" s="63"/>
      <c r="C15" s="63"/>
      <c r="D15" s="63"/>
      <c r="E15" s="63"/>
      <c r="F15" s="63"/>
      <c r="G15" s="63"/>
      <c r="H15" s="63"/>
      <c r="I15" s="63"/>
      <c r="J15" s="63"/>
    </row>
    <row r="16" spans="1:44" ht="15" customHeight="1" x14ac:dyDescent="0.3">
      <c r="A16" s="63"/>
      <c r="B16" s="63"/>
      <c r="C16" s="63"/>
      <c r="D16" s="63"/>
      <c r="E16" s="63"/>
      <c r="F16" s="63"/>
      <c r="G16" s="63"/>
      <c r="H16" s="63"/>
      <c r="I16" s="63"/>
      <c r="J16" s="63"/>
    </row>
    <row r="17" spans="1:10" ht="15" customHeight="1" x14ac:dyDescent="0.3">
      <c r="A17" s="63"/>
      <c r="B17" s="63"/>
      <c r="C17" s="63"/>
      <c r="D17" s="63"/>
      <c r="E17" s="63"/>
      <c r="F17" s="63"/>
      <c r="G17" s="63"/>
      <c r="H17" s="63"/>
      <c r="I17" s="63"/>
      <c r="J17" s="63"/>
    </row>
    <row r="18" spans="1:10" ht="15" customHeight="1" x14ac:dyDescent="0.3">
      <c r="A18" s="63"/>
      <c r="B18" s="63"/>
      <c r="C18" s="63"/>
      <c r="D18" s="63"/>
      <c r="E18" s="63"/>
      <c r="F18" s="63"/>
      <c r="G18" s="63"/>
      <c r="H18" s="63"/>
      <c r="I18" s="63"/>
      <c r="J18" s="63"/>
    </row>
    <row r="19" spans="1:10" ht="15" customHeight="1" x14ac:dyDescent="0.3">
      <c r="A19" s="63"/>
      <c r="B19" s="63"/>
      <c r="C19" s="63"/>
      <c r="D19" s="63"/>
      <c r="E19" s="63"/>
      <c r="F19" s="63"/>
      <c r="G19" s="63"/>
      <c r="H19" s="63"/>
      <c r="I19" s="63"/>
      <c r="J19" s="63"/>
    </row>
    <row r="20" spans="1:10" ht="15" customHeight="1" x14ac:dyDescent="0.3">
      <c r="A20" s="63"/>
      <c r="B20" s="63"/>
      <c r="C20" s="63"/>
      <c r="D20" s="63"/>
      <c r="E20" s="63"/>
      <c r="F20" s="63"/>
      <c r="G20" s="63"/>
      <c r="H20" s="63"/>
      <c r="I20" s="63"/>
      <c r="J20" s="63"/>
    </row>
    <row r="21" spans="1:10" ht="15" customHeight="1" x14ac:dyDescent="0.3">
      <c r="A21" s="63"/>
      <c r="B21" s="63"/>
      <c r="C21" s="63"/>
      <c r="D21" s="63"/>
      <c r="E21" s="63"/>
      <c r="F21" s="63"/>
      <c r="G21" s="63"/>
      <c r="H21" s="63"/>
      <c r="I21" s="63"/>
      <c r="J21" s="63"/>
    </row>
    <row r="22" spans="1:10" ht="15" customHeight="1" x14ac:dyDescent="0.3">
      <c r="A22" s="63"/>
      <c r="B22" s="63"/>
      <c r="C22" s="63"/>
      <c r="D22" s="63"/>
      <c r="E22" s="63"/>
      <c r="F22" s="63"/>
      <c r="G22" s="63"/>
      <c r="H22" s="63"/>
      <c r="I22" s="63"/>
      <c r="J22" s="63"/>
    </row>
    <row r="23" spans="1:10" ht="15" customHeight="1" x14ac:dyDescent="0.3">
      <c r="A23" s="63"/>
      <c r="B23" s="63"/>
      <c r="C23" s="63"/>
      <c r="D23" s="63"/>
      <c r="E23" s="63"/>
      <c r="F23" s="63"/>
      <c r="G23" s="63"/>
      <c r="H23" s="63"/>
      <c r="I23" s="63"/>
      <c r="J23" s="63"/>
    </row>
    <row r="24" spans="1:10" ht="15" customHeight="1" x14ac:dyDescent="0.3">
      <c r="A24" s="63"/>
      <c r="B24" s="63"/>
      <c r="C24" s="63"/>
      <c r="D24" s="63"/>
      <c r="E24" s="63"/>
      <c r="F24" s="63"/>
      <c r="G24" s="63"/>
      <c r="H24" s="63"/>
      <c r="I24" s="63"/>
      <c r="J24" s="63"/>
    </row>
    <row r="25" spans="1:10" ht="15" customHeight="1" x14ac:dyDescent="0.3">
      <c r="A25" s="63"/>
      <c r="B25" s="63"/>
      <c r="C25" s="63"/>
      <c r="D25" s="63"/>
      <c r="E25" s="63"/>
      <c r="F25" s="63"/>
      <c r="G25" s="63"/>
      <c r="H25" s="63"/>
      <c r="I25" s="63"/>
      <c r="J25" s="63"/>
    </row>
    <row r="26" spans="1:10" ht="15" customHeight="1" x14ac:dyDescent="0.3">
      <c r="A26" s="63"/>
      <c r="B26" s="63"/>
      <c r="C26" s="63"/>
      <c r="D26" s="63"/>
      <c r="E26" s="63"/>
      <c r="F26" s="63"/>
      <c r="G26" s="63"/>
      <c r="H26" s="63"/>
      <c r="I26" s="63"/>
      <c r="J26" s="63"/>
    </row>
    <row r="27" spans="1:10" ht="15" customHeight="1" x14ac:dyDescent="0.3">
      <c r="A27" s="63"/>
      <c r="B27" s="63"/>
      <c r="C27" s="63"/>
      <c r="D27" s="63"/>
      <c r="E27" s="63"/>
      <c r="F27" s="63"/>
      <c r="G27" s="63"/>
      <c r="H27" s="63"/>
      <c r="I27" s="63"/>
      <c r="J27" s="63"/>
    </row>
    <row r="28" spans="1:10" ht="15" customHeight="1" x14ac:dyDescent="0.3">
      <c r="A28" s="63"/>
      <c r="B28" s="63"/>
      <c r="C28" s="63"/>
      <c r="D28" s="63"/>
      <c r="E28" s="63"/>
      <c r="F28" s="63"/>
      <c r="G28" s="63"/>
      <c r="H28" s="63"/>
      <c r="I28" s="63"/>
      <c r="J28" s="63"/>
    </row>
    <row r="29" spans="1:10" ht="15" customHeight="1" x14ac:dyDescent="0.3">
      <c r="A29" s="63"/>
      <c r="B29" s="63"/>
      <c r="C29" s="63"/>
      <c r="D29" s="63"/>
      <c r="E29" s="63"/>
      <c r="F29" s="63"/>
      <c r="G29" s="63"/>
      <c r="H29" s="63"/>
      <c r="I29" s="63"/>
      <c r="J29" s="63"/>
    </row>
    <row r="30" spans="1:10" ht="15" customHeight="1" x14ac:dyDescent="0.3">
      <c r="A30" s="63"/>
      <c r="B30" s="63"/>
      <c r="C30" s="63"/>
      <c r="D30" s="63"/>
      <c r="E30" s="63"/>
      <c r="F30" s="63"/>
      <c r="G30" s="63"/>
      <c r="H30" s="63"/>
      <c r="I30" s="63"/>
      <c r="J30" s="63"/>
    </row>
    <row r="31" spans="1:10" ht="15" customHeight="1" x14ac:dyDescent="0.3">
      <c r="A31" s="63"/>
      <c r="B31" s="63"/>
      <c r="C31" s="63"/>
      <c r="D31" s="63"/>
      <c r="E31" s="63"/>
      <c r="F31" s="63"/>
      <c r="G31" s="63"/>
      <c r="H31" s="63"/>
      <c r="I31" s="63"/>
      <c r="J31" s="63"/>
    </row>
    <row r="32" spans="1:10" ht="15" customHeight="1" x14ac:dyDescent="0.3">
      <c r="A32" s="63"/>
      <c r="B32" s="63"/>
      <c r="C32" s="63"/>
      <c r="D32" s="63"/>
      <c r="E32" s="63"/>
      <c r="F32" s="63"/>
      <c r="G32" s="63"/>
      <c r="H32" s="63"/>
      <c r="I32" s="63"/>
      <c r="J32" s="63"/>
    </row>
    <row r="33" spans="1:10" ht="15" customHeight="1" x14ac:dyDescent="0.3">
      <c r="A33" s="63"/>
      <c r="B33" s="63"/>
      <c r="C33" s="63"/>
      <c r="D33" s="63"/>
      <c r="E33" s="63"/>
      <c r="F33" s="63"/>
      <c r="G33" s="63"/>
      <c r="H33" s="63"/>
      <c r="I33" s="63"/>
      <c r="J33" s="63"/>
    </row>
    <row r="34" spans="1:10" ht="15" customHeight="1" x14ac:dyDescent="0.3">
      <c r="A34" s="63"/>
      <c r="B34" s="63"/>
      <c r="C34" s="63"/>
      <c r="D34" s="63"/>
      <c r="E34" s="63"/>
      <c r="F34" s="63"/>
      <c r="G34" s="63"/>
      <c r="H34" s="63"/>
      <c r="I34" s="63"/>
      <c r="J34" s="63"/>
    </row>
    <row r="35" spans="1:10" ht="15" customHeight="1" x14ac:dyDescent="0.3">
      <c r="A35" s="63"/>
      <c r="B35" s="63"/>
      <c r="C35" s="63"/>
      <c r="D35" s="63"/>
      <c r="E35" s="63"/>
      <c r="F35" s="63"/>
      <c r="G35" s="63"/>
      <c r="H35" s="63"/>
      <c r="I35" s="63"/>
      <c r="J35" s="63"/>
    </row>
    <row r="36" spans="1:10" ht="15" customHeight="1" x14ac:dyDescent="0.3">
      <c r="A36" s="63"/>
      <c r="B36" s="63"/>
      <c r="C36" s="63"/>
      <c r="D36" s="63"/>
      <c r="E36" s="63"/>
      <c r="F36" s="63"/>
      <c r="G36" s="63"/>
      <c r="H36" s="63"/>
      <c r="I36" s="63"/>
      <c r="J36" s="63"/>
    </row>
    <row r="37" spans="1:10" ht="15" customHeight="1" x14ac:dyDescent="0.3">
      <c r="A37" s="63"/>
      <c r="B37" s="63"/>
      <c r="C37" s="63"/>
      <c r="D37" s="63"/>
      <c r="E37" s="63"/>
      <c r="F37" s="63"/>
      <c r="G37" s="63"/>
      <c r="H37" s="63"/>
      <c r="I37" s="63"/>
      <c r="J37" s="63"/>
    </row>
    <row r="38" spans="1:10" ht="15" customHeight="1" x14ac:dyDescent="0.3">
      <c r="A38" s="63"/>
      <c r="B38" s="63"/>
      <c r="C38" s="63"/>
      <c r="D38" s="63"/>
      <c r="E38" s="63"/>
      <c r="F38" s="63"/>
      <c r="G38" s="63"/>
      <c r="H38" s="63"/>
      <c r="I38" s="63"/>
      <c r="J38" s="63"/>
    </row>
    <row r="39" spans="1:10" ht="15" customHeight="1" x14ac:dyDescent="0.3">
      <c r="A39" s="63"/>
      <c r="B39" s="63"/>
      <c r="C39" s="63"/>
      <c r="D39" s="63"/>
      <c r="E39" s="63"/>
      <c r="F39" s="63"/>
      <c r="G39" s="63"/>
      <c r="H39" s="63"/>
      <c r="I39" s="63"/>
      <c r="J39" s="63"/>
    </row>
    <row r="40" spans="1:10" ht="15" customHeight="1" x14ac:dyDescent="0.3">
      <c r="A40" s="63"/>
      <c r="B40" s="63"/>
      <c r="C40" s="63"/>
      <c r="D40" s="63"/>
      <c r="E40" s="63"/>
      <c r="F40" s="63"/>
      <c r="G40" s="63"/>
      <c r="H40" s="63"/>
      <c r="I40" s="63"/>
      <c r="J40" s="63"/>
    </row>
    <row r="41" spans="1:10" ht="15" customHeight="1" x14ac:dyDescent="0.3">
      <c r="A41" s="63"/>
      <c r="B41" s="63"/>
      <c r="C41" s="63"/>
      <c r="D41" s="63"/>
      <c r="E41" s="63"/>
      <c r="F41" s="63"/>
      <c r="G41" s="63"/>
      <c r="H41" s="63"/>
      <c r="I41" s="63"/>
      <c r="J41" s="63"/>
    </row>
    <row r="42" spans="1:10" ht="15" customHeight="1" x14ac:dyDescent="0.3">
      <c r="A42" s="63"/>
      <c r="B42" s="63"/>
      <c r="C42" s="63"/>
      <c r="D42" s="63"/>
      <c r="E42" s="63"/>
      <c r="F42" s="63"/>
      <c r="G42" s="63"/>
      <c r="H42" s="63"/>
      <c r="I42" s="63"/>
      <c r="J42" s="63"/>
    </row>
    <row r="43" spans="1:10" ht="15" customHeight="1" x14ac:dyDescent="0.3">
      <c r="A43" s="63"/>
      <c r="B43" s="63"/>
      <c r="C43" s="63"/>
      <c r="D43" s="63"/>
      <c r="E43" s="63"/>
      <c r="F43" s="63"/>
      <c r="G43" s="63"/>
      <c r="H43" s="63"/>
      <c r="I43" s="63"/>
      <c r="J43" s="63"/>
    </row>
    <row r="44" spans="1:10" ht="15" customHeight="1" x14ac:dyDescent="0.3">
      <c r="A44" s="63"/>
      <c r="B44" s="63"/>
      <c r="C44" s="63"/>
      <c r="D44" s="63"/>
      <c r="E44" s="63"/>
      <c r="F44" s="63"/>
      <c r="G44" s="63"/>
      <c r="H44" s="63"/>
      <c r="I44" s="63"/>
      <c r="J44" s="63"/>
    </row>
    <row r="45" spans="1:10" ht="15" customHeight="1" x14ac:dyDescent="0.3">
      <c r="A45" s="63"/>
      <c r="B45" s="63"/>
      <c r="C45" s="63"/>
      <c r="D45" s="63"/>
      <c r="E45" s="63"/>
      <c r="F45" s="63"/>
      <c r="G45" s="63"/>
      <c r="H45" s="63"/>
      <c r="I45" s="63"/>
      <c r="J45" s="63"/>
    </row>
    <row r="46" spans="1:10" ht="15" customHeight="1" x14ac:dyDescent="0.3">
      <c r="A46" s="63"/>
      <c r="B46" s="63"/>
      <c r="C46" s="63"/>
      <c r="D46" s="63"/>
      <c r="E46" s="63"/>
      <c r="F46" s="63"/>
      <c r="G46" s="63"/>
      <c r="H46" s="63"/>
      <c r="I46" s="63"/>
      <c r="J46" s="63"/>
    </row>
    <row r="47" spans="1:10" ht="15" customHeight="1" x14ac:dyDescent="0.3">
      <c r="A47" s="63"/>
      <c r="B47" s="63"/>
      <c r="C47" s="63"/>
      <c r="D47" s="63"/>
      <c r="E47" s="63"/>
      <c r="F47" s="63"/>
      <c r="G47" s="63"/>
      <c r="H47" s="63"/>
      <c r="I47" s="63"/>
      <c r="J47" s="63"/>
    </row>
    <row r="48" spans="1:10" ht="15" customHeight="1" x14ac:dyDescent="0.3">
      <c r="A48" s="63"/>
      <c r="B48" s="63"/>
      <c r="C48" s="63"/>
      <c r="D48" s="63"/>
      <c r="E48" s="63"/>
      <c r="F48" s="63"/>
      <c r="G48" s="63"/>
      <c r="H48" s="63"/>
      <c r="I48" s="63"/>
      <c r="J48" s="63"/>
    </row>
    <row r="49" spans="1:10" ht="15" customHeight="1" x14ac:dyDescent="0.3">
      <c r="A49" s="27"/>
      <c r="B49" s="27"/>
      <c r="C49" s="27"/>
      <c r="D49" s="27"/>
      <c r="E49" s="27"/>
      <c r="F49" s="27"/>
      <c r="G49" s="27"/>
      <c r="H49" s="27"/>
      <c r="I49" s="27"/>
    </row>
    <row r="50" spans="1:10" ht="16.2" x14ac:dyDescent="0.35">
      <c r="A50" s="2" t="s">
        <v>13</v>
      </c>
    </row>
    <row r="51" spans="1:10" ht="15" customHeight="1" x14ac:dyDescent="0.3">
      <c r="A51" s="61" t="s">
        <v>174</v>
      </c>
      <c r="B51" s="61"/>
      <c r="C51" s="61"/>
      <c r="D51" s="61"/>
      <c r="E51" s="61"/>
      <c r="F51" s="61"/>
      <c r="G51" s="61"/>
      <c r="H51" s="61"/>
      <c r="I51" s="61"/>
      <c r="J51" s="61"/>
    </row>
    <row r="52" spans="1:10" ht="15" customHeight="1" x14ac:dyDescent="0.3">
      <c r="A52" s="61"/>
      <c r="B52" s="61"/>
      <c r="C52" s="61"/>
      <c r="D52" s="61"/>
      <c r="E52" s="61"/>
      <c r="F52" s="61"/>
      <c r="G52" s="61"/>
      <c r="H52" s="61"/>
      <c r="I52" s="61"/>
      <c r="J52" s="61"/>
    </row>
    <row r="69" spans="1:10" x14ac:dyDescent="0.3">
      <c r="A69" s="3" t="s">
        <v>0</v>
      </c>
      <c r="B69" s="3">
        <v>2010</v>
      </c>
      <c r="C69" s="3">
        <f>B69+1</f>
        <v>2011</v>
      </c>
      <c r="D69" s="3">
        <f t="shared" ref="D69:J69" si="0">C69+1</f>
        <v>2012</v>
      </c>
      <c r="E69" s="3">
        <f t="shared" si="0"/>
        <v>2013</v>
      </c>
      <c r="F69" s="3">
        <f t="shared" si="0"/>
        <v>2014</v>
      </c>
      <c r="G69" s="3">
        <f t="shared" si="0"/>
        <v>2015</v>
      </c>
      <c r="H69" s="3">
        <f t="shared" si="0"/>
        <v>2016</v>
      </c>
      <c r="I69" s="3">
        <f t="shared" si="0"/>
        <v>2017</v>
      </c>
      <c r="J69" s="3">
        <f t="shared" si="0"/>
        <v>2018</v>
      </c>
    </row>
    <row r="70" spans="1:10" x14ac:dyDescent="0.3">
      <c r="A70" s="9" t="s">
        <v>2</v>
      </c>
      <c r="B70" s="3">
        <f>SUM(Calculate!C2:C3)</f>
        <v>136</v>
      </c>
      <c r="C70" s="3">
        <f>SUM(Calculate!D2:D3)</f>
        <v>80</v>
      </c>
      <c r="D70" s="3">
        <f>SUM(Calculate!E2:E3)</f>
        <v>107</v>
      </c>
      <c r="E70" s="3">
        <f>SUM(Calculate!F2:F3)</f>
        <v>118</v>
      </c>
      <c r="F70" s="3">
        <f>SUM(Calculate!G2:G3)</f>
        <v>107</v>
      </c>
      <c r="G70" s="3">
        <f>SUM(Calculate!H2:H3)</f>
        <v>100</v>
      </c>
      <c r="H70" s="3">
        <f>SUM(Calculate!I2:I3)</f>
        <v>168</v>
      </c>
      <c r="I70" s="3">
        <f>SUM(Calculate!J2:J3)</f>
        <v>134</v>
      </c>
      <c r="J70" s="3">
        <f>SUM(Calculate!K2:K3)</f>
        <v>35</v>
      </c>
    </row>
    <row r="71" spans="1:10" x14ac:dyDescent="0.3">
      <c r="A71" s="1" t="s">
        <v>73</v>
      </c>
      <c r="B71" s="71" t="s">
        <v>74</v>
      </c>
      <c r="C71" s="71"/>
      <c r="D71" s="1">
        <f>Calculate!S3</f>
        <v>93</v>
      </c>
      <c r="E71" s="1" t="s">
        <v>44</v>
      </c>
      <c r="F71" s="71" t="s">
        <v>75</v>
      </c>
      <c r="G71" s="71"/>
      <c r="H71" s="1">
        <f>Calculate!S2</f>
        <v>892</v>
      </c>
      <c r="I71" s="1" t="s">
        <v>44</v>
      </c>
    </row>
    <row r="72" spans="1:10" x14ac:dyDescent="0.3">
      <c r="B72" s="29"/>
      <c r="C72" s="29"/>
      <c r="D72" s="44">
        <f>D71/(D71+H71)</f>
        <v>9.4416243654822332E-2</v>
      </c>
      <c r="H72" s="45">
        <f>H71/(D71+H71)</f>
        <v>0.90558375634517763</v>
      </c>
    </row>
    <row r="73" spans="1:10" ht="15.75" customHeight="1" x14ac:dyDescent="0.3">
      <c r="A73" s="64" t="s">
        <v>107</v>
      </c>
      <c r="B73" s="64"/>
      <c r="C73" s="64"/>
      <c r="D73" s="64"/>
      <c r="E73" s="64"/>
      <c r="F73" s="64"/>
      <c r="G73" s="64"/>
      <c r="H73" s="64"/>
      <c r="I73" s="64"/>
      <c r="J73" s="64"/>
    </row>
    <row r="75" spans="1:10" ht="15" customHeight="1" x14ac:dyDescent="0.3">
      <c r="A75" s="61" t="s">
        <v>71</v>
      </c>
      <c r="B75" s="61"/>
      <c r="C75" s="61"/>
      <c r="D75" s="61"/>
      <c r="E75" s="61"/>
      <c r="F75" s="61"/>
      <c r="G75" s="61"/>
      <c r="H75" s="61"/>
      <c r="I75" s="61"/>
      <c r="J75" s="61"/>
    </row>
    <row r="76" spans="1:10" ht="15" customHeight="1" x14ac:dyDescent="0.3">
      <c r="A76" s="61"/>
      <c r="B76" s="61"/>
      <c r="C76" s="61"/>
      <c r="D76" s="61"/>
      <c r="E76" s="61"/>
      <c r="F76" s="61"/>
      <c r="G76" s="61"/>
      <c r="H76" s="61"/>
      <c r="I76" s="61"/>
      <c r="J76" s="61"/>
    </row>
    <row r="92" spans="1:10" x14ac:dyDescent="0.3">
      <c r="A92" s="3" t="s">
        <v>0</v>
      </c>
      <c r="B92" s="3">
        <v>2010</v>
      </c>
      <c r="C92" s="3">
        <f>B92+1</f>
        <v>2011</v>
      </c>
      <c r="D92" s="3">
        <f t="shared" ref="D92:J92" si="1">C92+1</f>
        <v>2012</v>
      </c>
      <c r="E92" s="3">
        <f t="shared" si="1"/>
        <v>2013</v>
      </c>
      <c r="F92" s="3">
        <f t="shared" si="1"/>
        <v>2014</v>
      </c>
      <c r="G92" s="3">
        <f t="shared" si="1"/>
        <v>2015</v>
      </c>
      <c r="H92" s="3">
        <f t="shared" si="1"/>
        <v>2016</v>
      </c>
      <c r="I92" s="3">
        <f t="shared" si="1"/>
        <v>2017</v>
      </c>
      <c r="J92" s="3">
        <f t="shared" si="1"/>
        <v>2018</v>
      </c>
    </row>
    <row r="93" spans="1:10" x14ac:dyDescent="0.3">
      <c r="A93" s="69" t="s">
        <v>3</v>
      </c>
      <c r="B93" s="3">
        <f>Calculate!AC3</f>
        <v>89</v>
      </c>
      <c r="C93" s="3">
        <f>Calculate!AC4</f>
        <v>59</v>
      </c>
      <c r="D93" s="3">
        <f>Calculate!AC5</f>
        <v>60</v>
      </c>
      <c r="E93" s="3">
        <f>Calculate!AC6</f>
        <v>74</v>
      </c>
      <c r="F93" s="3">
        <f>Calculate!AC7</f>
        <v>58</v>
      </c>
      <c r="G93" s="3">
        <f>Calculate!AC8</f>
        <v>42</v>
      </c>
      <c r="H93" s="3">
        <f>Calculate!AC9</f>
        <v>52</v>
      </c>
      <c r="I93" s="3">
        <f>Calculate!AC10</f>
        <v>41</v>
      </c>
      <c r="J93" s="3">
        <f>Calculate!AC11</f>
        <v>17</v>
      </c>
    </row>
    <row r="94" spans="1:10" x14ac:dyDescent="0.3">
      <c r="A94" s="70"/>
      <c r="B94" s="50">
        <f>IFERROR(B93/(B93+B95),0)</f>
        <v>0.65441176470588236</v>
      </c>
      <c r="C94" s="50">
        <f t="shared" ref="C94:J94" si="2">IFERROR(C93/(C93+C95),0)</f>
        <v>0.73750000000000004</v>
      </c>
      <c r="D94" s="50">
        <f t="shared" si="2"/>
        <v>0.56074766355140182</v>
      </c>
      <c r="E94" s="50">
        <f t="shared" si="2"/>
        <v>0.6271186440677966</v>
      </c>
      <c r="F94" s="50">
        <f t="shared" si="2"/>
        <v>0.54205607476635509</v>
      </c>
      <c r="G94" s="50">
        <f t="shared" si="2"/>
        <v>0.42</v>
      </c>
      <c r="H94" s="50">
        <f t="shared" si="2"/>
        <v>0.30952380952380953</v>
      </c>
      <c r="I94" s="50">
        <f t="shared" si="2"/>
        <v>0.30597014925373134</v>
      </c>
      <c r="J94" s="50">
        <f t="shared" si="2"/>
        <v>0.48571428571428571</v>
      </c>
    </row>
    <row r="95" spans="1:10" x14ac:dyDescent="0.3">
      <c r="A95" s="69" t="s">
        <v>4</v>
      </c>
      <c r="B95" s="3">
        <f>Calculate!AD3</f>
        <v>47</v>
      </c>
      <c r="C95" s="3">
        <f>Calculate!AD4</f>
        <v>21</v>
      </c>
      <c r="D95" s="3">
        <f>Calculate!AD5</f>
        <v>47</v>
      </c>
      <c r="E95" s="3">
        <f>Calculate!AD6</f>
        <v>44</v>
      </c>
      <c r="F95" s="3">
        <f>Calculate!AD7</f>
        <v>49</v>
      </c>
      <c r="G95" s="3">
        <f>Calculate!AD8</f>
        <v>58</v>
      </c>
      <c r="H95" s="3">
        <f>Calculate!AD9</f>
        <v>116</v>
      </c>
      <c r="I95" s="3">
        <f>Calculate!AD10</f>
        <v>93</v>
      </c>
      <c r="J95" s="3">
        <f>Calculate!AD11</f>
        <v>18</v>
      </c>
    </row>
    <row r="96" spans="1:10" x14ac:dyDescent="0.3">
      <c r="A96" s="70"/>
      <c r="B96" s="50">
        <f>IFERROR(B95/(B93+B95),0)</f>
        <v>0.34558823529411764</v>
      </c>
      <c r="C96" s="50">
        <f t="shared" ref="C96:J96" si="3">IFERROR(C95/(C93+C95),0)</f>
        <v>0.26250000000000001</v>
      </c>
      <c r="D96" s="50">
        <f t="shared" si="3"/>
        <v>0.43925233644859812</v>
      </c>
      <c r="E96" s="50">
        <f t="shared" si="3"/>
        <v>0.3728813559322034</v>
      </c>
      <c r="F96" s="50">
        <f t="shared" si="3"/>
        <v>0.45794392523364486</v>
      </c>
      <c r="G96" s="50">
        <f t="shared" si="3"/>
        <v>0.57999999999999996</v>
      </c>
      <c r="H96" s="50">
        <f t="shared" si="3"/>
        <v>0.69047619047619047</v>
      </c>
      <c r="I96" s="50">
        <f t="shared" si="3"/>
        <v>0.69402985074626866</v>
      </c>
      <c r="J96" s="50">
        <f t="shared" si="3"/>
        <v>0.51428571428571423</v>
      </c>
    </row>
    <row r="97" spans="1:10" x14ac:dyDescent="0.3">
      <c r="A97" s="1" t="s">
        <v>5</v>
      </c>
    </row>
    <row r="98" spans="1:10" ht="15.75" customHeight="1" x14ac:dyDescent="0.3">
      <c r="A98" s="64" t="s">
        <v>124</v>
      </c>
      <c r="B98" s="64"/>
      <c r="C98" s="64"/>
      <c r="D98" s="64"/>
      <c r="E98" s="64"/>
      <c r="F98" s="64"/>
      <c r="G98" s="64"/>
      <c r="H98" s="64"/>
      <c r="I98" s="64"/>
      <c r="J98" s="64"/>
    </row>
    <row r="99" spans="1:10" ht="15.75" customHeight="1" x14ac:dyDescent="0.3">
      <c r="A99" s="64"/>
      <c r="B99" s="64"/>
      <c r="C99" s="64"/>
      <c r="D99" s="64"/>
      <c r="E99" s="64"/>
      <c r="F99" s="64"/>
      <c r="G99" s="64"/>
      <c r="H99" s="64"/>
      <c r="I99" s="64"/>
      <c r="J99" s="64"/>
    </row>
    <row r="100" spans="1:10" ht="15.75" customHeight="1" x14ac:dyDescent="0.3">
      <c r="A100" s="66" t="s">
        <v>230</v>
      </c>
      <c r="B100" s="66"/>
      <c r="C100" s="66"/>
      <c r="D100" s="66"/>
      <c r="E100" s="66"/>
      <c r="F100" s="66"/>
      <c r="G100" s="66"/>
      <c r="H100" s="66"/>
      <c r="I100" s="66"/>
      <c r="J100" s="66"/>
    </row>
    <row r="101" spans="1:10" ht="15.75" customHeight="1" x14ac:dyDescent="0.3">
      <c r="A101" s="66"/>
      <c r="B101" s="66"/>
      <c r="C101" s="66"/>
      <c r="D101" s="66"/>
      <c r="E101" s="66"/>
      <c r="F101" s="66"/>
      <c r="G101" s="66"/>
      <c r="H101" s="66"/>
      <c r="I101" s="66"/>
      <c r="J101" s="66"/>
    </row>
    <row r="102" spans="1:10" ht="15" customHeight="1" x14ac:dyDescent="0.3">
      <c r="A102" s="68" t="s">
        <v>82</v>
      </c>
      <c r="B102" s="68"/>
      <c r="C102" s="68"/>
      <c r="D102" s="68"/>
      <c r="E102" s="68"/>
      <c r="F102" s="68"/>
      <c r="G102" s="68"/>
      <c r="H102" s="68"/>
      <c r="I102" s="68"/>
      <c r="J102" s="68"/>
    </row>
    <row r="103" spans="1:10" ht="15" customHeight="1" x14ac:dyDescent="0.3">
      <c r="A103" s="68"/>
      <c r="B103" s="68"/>
      <c r="C103" s="68"/>
      <c r="D103" s="68"/>
      <c r="E103" s="68"/>
      <c r="F103" s="68"/>
      <c r="G103" s="68"/>
      <c r="H103" s="68"/>
      <c r="I103" s="68"/>
      <c r="J103" s="68"/>
    </row>
    <row r="104" spans="1:10" ht="15.75" customHeight="1" x14ac:dyDescent="0.3">
      <c r="A104" s="68"/>
      <c r="B104" s="68"/>
      <c r="C104" s="68"/>
      <c r="D104" s="68"/>
      <c r="E104" s="68"/>
      <c r="F104" s="68"/>
      <c r="G104" s="68"/>
      <c r="H104" s="68"/>
      <c r="I104" s="68"/>
      <c r="J104" s="68"/>
    </row>
    <row r="107" spans="1:10" x14ac:dyDescent="0.3">
      <c r="C107" s="22"/>
    </row>
    <row r="122" spans="1:10" ht="15.75" customHeight="1" x14ac:dyDescent="0.3">
      <c r="A122" s="64" t="s">
        <v>231</v>
      </c>
      <c r="B122" s="64"/>
      <c r="C122" s="64"/>
      <c r="D122" s="64"/>
      <c r="E122" s="64"/>
      <c r="F122" s="64"/>
      <c r="G122" s="64"/>
      <c r="H122" s="64"/>
      <c r="I122" s="64"/>
      <c r="J122" s="64"/>
    </row>
    <row r="123" spans="1:10" ht="15" customHeight="1" x14ac:dyDescent="0.3">
      <c r="A123" s="64"/>
      <c r="B123" s="64"/>
      <c r="C123" s="64"/>
      <c r="D123" s="64"/>
      <c r="E123" s="64"/>
      <c r="F123" s="64"/>
      <c r="G123" s="64"/>
      <c r="H123" s="64"/>
      <c r="I123" s="64"/>
      <c r="J123" s="64"/>
    </row>
    <row r="125" spans="1:10" ht="15" customHeight="1" x14ac:dyDescent="0.3">
      <c r="A125" s="61" t="s">
        <v>72</v>
      </c>
      <c r="B125" s="61"/>
      <c r="C125" s="61"/>
      <c r="D125" s="61"/>
      <c r="E125" s="61"/>
      <c r="F125" s="61"/>
      <c r="G125" s="61"/>
      <c r="H125" s="61"/>
      <c r="I125" s="61"/>
      <c r="J125" s="61"/>
    </row>
    <row r="126" spans="1:10" ht="15" customHeight="1" x14ac:dyDescent="0.3">
      <c r="A126" s="61"/>
      <c r="B126" s="61"/>
      <c r="C126" s="61"/>
      <c r="D126" s="61"/>
      <c r="E126" s="61"/>
      <c r="F126" s="61"/>
      <c r="G126" s="61"/>
      <c r="H126" s="61"/>
      <c r="I126" s="61"/>
      <c r="J126" s="61"/>
    </row>
    <row r="127" spans="1:10" ht="15" customHeight="1" x14ac:dyDescent="0.3">
      <c r="A127" s="61"/>
      <c r="B127" s="61"/>
      <c r="C127" s="61"/>
      <c r="D127" s="61"/>
      <c r="E127" s="61"/>
      <c r="F127" s="61"/>
      <c r="G127" s="61"/>
      <c r="H127" s="61"/>
      <c r="I127" s="61"/>
      <c r="J127" s="61"/>
    </row>
    <row r="128" spans="1:10" ht="15" customHeight="1" x14ac:dyDescent="0.3">
      <c r="A128" s="61"/>
      <c r="B128" s="61"/>
      <c r="C128" s="61"/>
      <c r="D128" s="61"/>
      <c r="E128" s="61"/>
      <c r="F128" s="61"/>
      <c r="G128" s="61"/>
      <c r="H128" s="61"/>
      <c r="I128" s="61"/>
      <c r="J128" s="61"/>
    </row>
    <row r="129" spans="1:9" ht="15" customHeight="1" x14ac:dyDescent="0.3">
      <c r="A129" s="6"/>
      <c r="B129" s="6"/>
      <c r="C129" s="6"/>
      <c r="D129" s="6"/>
      <c r="E129" s="6"/>
      <c r="F129" s="6"/>
      <c r="G129" s="6"/>
      <c r="H129" s="6"/>
      <c r="I129" s="6"/>
    </row>
    <row r="146" spans="1:10" ht="15.75" customHeight="1" x14ac:dyDescent="0.3">
      <c r="A146" s="64" t="s">
        <v>232</v>
      </c>
      <c r="B146" s="64"/>
      <c r="C146" s="64"/>
      <c r="D146" s="64"/>
      <c r="E146" s="64"/>
      <c r="F146" s="64"/>
      <c r="G146" s="64"/>
      <c r="H146" s="64"/>
      <c r="I146" s="64"/>
      <c r="J146" s="64"/>
    </row>
    <row r="147" spans="1:10" ht="15" customHeight="1" x14ac:dyDescent="0.3">
      <c r="A147" s="64"/>
      <c r="B147" s="64"/>
      <c r="C147" s="64"/>
      <c r="D147" s="64"/>
      <c r="E147" s="64"/>
      <c r="F147" s="64"/>
      <c r="G147" s="64"/>
      <c r="H147" s="64"/>
      <c r="I147" s="64"/>
      <c r="J147" s="64"/>
    </row>
    <row r="150" spans="1:10" ht="15.6" x14ac:dyDescent="0.3">
      <c r="A150" s="2" t="s">
        <v>12</v>
      </c>
    </row>
    <row r="151" spans="1:10" ht="15" customHeight="1" x14ac:dyDescent="0.3">
      <c r="A151" s="61" t="s">
        <v>177</v>
      </c>
      <c r="B151" s="61"/>
      <c r="C151" s="61"/>
      <c r="D151" s="61"/>
      <c r="E151" s="61"/>
      <c r="F151" s="61"/>
      <c r="G151" s="61"/>
      <c r="H151" s="61"/>
      <c r="I151" s="61"/>
      <c r="J151" s="61"/>
    </row>
    <row r="152" spans="1:10" ht="15" customHeight="1" x14ac:dyDescent="0.3">
      <c r="A152" s="61"/>
      <c r="B152" s="61"/>
      <c r="C152" s="61"/>
      <c r="D152" s="61"/>
      <c r="E152" s="61"/>
      <c r="F152" s="61"/>
      <c r="G152" s="61"/>
      <c r="H152" s="61"/>
      <c r="I152" s="61"/>
      <c r="J152" s="61"/>
    </row>
    <row r="168" spans="1:10" x14ac:dyDescent="0.3">
      <c r="A168" s="3" t="s">
        <v>0</v>
      </c>
      <c r="B168" s="3">
        <v>2010</v>
      </c>
      <c r="C168" s="3">
        <f t="shared" ref="C168:J168" si="4">B168+1</f>
        <v>2011</v>
      </c>
      <c r="D168" s="3">
        <f t="shared" si="4"/>
        <v>2012</v>
      </c>
      <c r="E168" s="3">
        <f t="shared" si="4"/>
        <v>2013</v>
      </c>
      <c r="F168" s="3">
        <f t="shared" si="4"/>
        <v>2014</v>
      </c>
      <c r="G168" s="3">
        <f t="shared" si="4"/>
        <v>2015</v>
      </c>
      <c r="H168" s="3">
        <f t="shared" si="4"/>
        <v>2016</v>
      </c>
      <c r="I168" s="3">
        <f t="shared" si="4"/>
        <v>2017</v>
      </c>
      <c r="J168" s="3">
        <f t="shared" si="4"/>
        <v>2018</v>
      </c>
    </row>
    <row r="169" spans="1:10" x14ac:dyDescent="0.3">
      <c r="A169" s="8" t="s">
        <v>49</v>
      </c>
      <c r="B169" s="3">
        <f>Calculate!C67</f>
        <v>1</v>
      </c>
      <c r="C169" s="3">
        <f>Calculate!D67</f>
        <v>1</v>
      </c>
      <c r="D169" s="3">
        <f>Calculate!E67</f>
        <v>5</v>
      </c>
      <c r="E169" s="3">
        <f>Calculate!F67</f>
        <v>4</v>
      </c>
      <c r="F169" s="3">
        <f>Calculate!G67</f>
        <v>1</v>
      </c>
      <c r="G169" s="3">
        <f>Calculate!H67</f>
        <v>2</v>
      </c>
      <c r="H169" s="3">
        <f>Calculate!I67</f>
        <v>19</v>
      </c>
      <c r="I169" s="3">
        <f>Calculate!J67</f>
        <v>37</v>
      </c>
      <c r="J169" s="3">
        <f>Calculate!K67</f>
        <v>32</v>
      </c>
    </row>
    <row r="170" spans="1:10" x14ac:dyDescent="0.3">
      <c r="A170" s="1" t="s">
        <v>1</v>
      </c>
      <c r="B170" s="71" t="s">
        <v>76</v>
      </c>
      <c r="C170" s="71"/>
      <c r="D170" s="1">
        <f>SUM(Calculate!C67:R67)</f>
        <v>102</v>
      </c>
      <c r="E170" s="1" t="s">
        <v>44</v>
      </c>
    </row>
    <row r="171" spans="1:10" ht="15.75" customHeight="1" x14ac:dyDescent="0.3">
      <c r="A171" s="64" t="s">
        <v>104</v>
      </c>
      <c r="B171" s="64"/>
      <c r="C171" s="64"/>
      <c r="D171" s="64"/>
      <c r="E171" s="64"/>
      <c r="F171" s="64"/>
      <c r="G171" s="64"/>
      <c r="H171" s="64"/>
      <c r="I171" s="64"/>
      <c r="J171" s="64"/>
    </row>
    <row r="172" spans="1:10" ht="15.6" x14ac:dyDescent="0.3">
      <c r="A172" s="7"/>
      <c r="B172" s="7"/>
      <c r="C172" s="7"/>
      <c r="D172" s="7"/>
      <c r="E172" s="7"/>
      <c r="F172" s="7"/>
      <c r="G172" s="7"/>
      <c r="H172" s="7"/>
      <c r="I172" s="7"/>
    </row>
    <row r="173" spans="1:10" ht="15" customHeight="1" x14ac:dyDescent="0.3">
      <c r="A173" s="61" t="s">
        <v>182</v>
      </c>
      <c r="B173" s="61"/>
      <c r="C173" s="61"/>
      <c r="D173" s="61"/>
      <c r="E173" s="61"/>
      <c r="F173" s="61"/>
      <c r="G173" s="61"/>
      <c r="H173" s="61"/>
      <c r="I173" s="61"/>
      <c r="J173" s="61"/>
    </row>
    <row r="174" spans="1:10" ht="15" customHeight="1" x14ac:dyDescent="0.3">
      <c r="A174" s="61"/>
      <c r="B174" s="61"/>
      <c r="C174" s="61"/>
      <c r="D174" s="61"/>
      <c r="E174" s="61"/>
      <c r="F174" s="61"/>
      <c r="G174" s="61"/>
      <c r="H174" s="61"/>
      <c r="I174" s="61"/>
      <c r="J174" s="61"/>
    </row>
    <row r="175" spans="1:10" ht="15" customHeight="1" x14ac:dyDescent="0.3">
      <c r="A175" s="61"/>
      <c r="B175" s="61"/>
      <c r="C175" s="61"/>
      <c r="D175" s="61"/>
      <c r="E175" s="61"/>
      <c r="F175" s="61"/>
      <c r="G175" s="61"/>
      <c r="H175" s="61"/>
      <c r="I175" s="61"/>
      <c r="J175" s="61"/>
    </row>
    <row r="176" spans="1:10" ht="15" customHeight="1" x14ac:dyDescent="0.3">
      <c r="A176" s="61"/>
      <c r="B176" s="61"/>
      <c r="C176" s="61"/>
      <c r="D176" s="61"/>
      <c r="E176" s="61"/>
      <c r="F176" s="61"/>
      <c r="G176" s="61"/>
      <c r="H176" s="61"/>
      <c r="I176" s="61"/>
      <c r="J176" s="61"/>
    </row>
    <row r="194" spans="1:44" x14ac:dyDescent="0.3">
      <c r="A194" s="3" t="s">
        <v>0</v>
      </c>
      <c r="B194" s="3">
        <v>2010</v>
      </c>
      <c r="C194" s="3">
        <f t="shared" ref="C194:J194" si="5">B194+1</f>
        <v>2011</v>
      </c>
      <c r="D194" s="3">
        <f t="shared" si="5"/>
        <v>2012</v>
      </c>
      <c r="E194" s="3">
        <f t="shared" si="5"/>
        <v>2013</v>
      </c>
      <c r="F194" s="3">
        <f t="shared" si="5"/>
        <v>2014</v>
      </c>
      <c r="G194" s="3">
        <f t="shared" si="5"/>
        <v>2015</v>
      </c>
      <c r="H194" s="3">
        <f t="shared" si="5"/>
        <v>2016</v>
      </c>
      <c r="I194" s="3">
        <f t="shared" si="5"/>
        <v>2017</v>
      </c>
      <c r="J194" s="3">
        <f t="shared" si="5"/>
        <v>2018</v>
      </c>
    </row>
    <row r="195" spans="1:44" s="4" customFormat="1" x14ac:dyDescent="0.3">
      <c r="A195" s="72" t="s">
        <v>6</v>
      </c>
      <c r="B195" s="67">
        <f>Calculate!C86</f>
        <v>0</v>
      </c>
      <c r="C195" s="67">
        <f>Calculate!D86</f>
        <v>0</v>
      </c>
      <c r="D195" s="67">
        <f>Calculate!E86</f>
        <v>0</v>
      </c>
      <c r="E195" s="67">
        <f>Calculate!F86</f>
        <v>0</v>
      </c>
      <c r="F195" s="67">
        <f>Calculate!G86</f>
        <v>0</v>
      </c>
      <c r="G195" s="67">
        <f>Calculate!H86</f>
        <v>0</v>
      </c>
      <c r="H195" s="67">
        <f>Calculate!I86</f>
        <v>0</v>
      </c>
      <c r="I195" s="67">
        <f>Calculate!J86</f>
        <v>0</v>
      </c>
      <c r="J195" s="67">
        <f>Calculate!K86</f>
        <v>2</v>
      </c>
      <c r="AQ195" s="5"/>
      <c r="AR195" s="5"/>
    </row>
    <row r="196" spans="1:44" x14ac:dyDescent="0.3">
      <c r="A196" s="72"/>
      <c r="B196" s="67"/>
      <c r="C196" s="67"/>
      <c r="D196" s="67"/>
      <c r="E196" s="67"/>
      <c r="F196" s="67"/>
      <c r="G196" s="67"/>
      <c r="H196" s="67"/>
      <c r="I196" s="67"/>
      <c r="J196" s="67"/>
    </row>
    <row r="197" spans="1:44" x14ac:dyDescent="0.3">
      <c r="A197" s="1" t="s">
        <v>7</v>
      </c>
    </row>
    <row r="198" spans="1:44" ht="15.75" customHeight="1" x14ac:dyDescent="0.3">
      <c r="A198" s="64" t="s">
        <v>105</v>
      </c>
      <c r="B198" s="64"/>
      <c r="C198" s="64"/>
      <c r="D198" s="64"/>
      <c r="E198" s="64"/>
      <c r="F198" s="64"/>
      <c r="G198" s="64"/>
      <c r="H198" s="64"/>
      <c r="I198" s="64"/>
      <c r="J198" s="64"/>
    </row>
    <row r="200" spans="1:44" ht="15.75" customHeight="1" x14ac:dyDescent="0.3">
      <c r="A200" s="68" t="s">
        <v>83</v>
      </c>
      <c r="B200" s="68"/>
      <c r="C200" s="68"/>
      <c r="D200" s="68"/>
      <c r="E200" s="68"/>
      <c r="F200" s="68"/>
      <c r="G200" s="68"/>
      <c r="H200" s="68"/>
      <c r="I200" s="68"/>
      <c r="J200" s="68"/>
    </row>
    <row r="201" spans="1:44" ht="15" customHeight="1" x14ac:dyDescent="0.3">
      <c r="A201" s="68"/>
      <c r="B201" s="68"/>
      <c r="C201" s="68"/>
      <c r="D201" s="68"/>
      <c r="E201" s="68"/>
      <c r="F201" s="68"/>
      <c r="G201" s="68"/>
      <c r="H201" s="68"/>
      <c r="I201" s="68"/>
      <c r="J201" s="68"/>
    </row>
    <row r="218" spans="1:10" ht="15.75" customHeight="1" x14ac:dyDescent="0.3">
      <c r="A218" s="64" t="s">
        <v>106</v>
      </c>
      <c r="B218" s="64"/>
      <c r="C218" s="64"/>
      <c r="D218" s="64"/>
      <c r="E218" s="64"/>
      <c r="F218" s="64"/>
      <c r="G218" s="64"/>
      <c r="H218" s="64"/>
      <c r="I218" s="64"/>
      <c r="J218" s="64"/>
    </row>
    <row r="219" spans="1:10" ht="15" customHeight="1" x14ac:dyDescent="0.3">
      <c r="A219" s="64"/>
      <c r="B219" s="64"/>
      <c r="C219" s="64"/>
      <c r="D219" s="64"/>
      <c r="E219" s="64"/>
      <c r="F219" s="64"/>
      <c r="G219" s="64"/>
      <c r="H219" s="64"/>
      <c r="I219" s="64"/>
      <c r="J219" s="64"/>
    </row>
  </sheetData>
  <mergeCells count="31">
    <mergeCell ref="A218:J219"/>
    <mergeCell ref="A151:J152"/>
    <mergeCell ref="A171:J171"/>
    <mergeCell ref="A125:J128"/>
    <mergeCell ref="A146:J147"/>
    <mergeCell ref="A198:J198"/>
    <mergeCell ref="B195:B196"/>
    <mergeCell ref="C195:C196"/>
    <mergeCell ref="D195:D196"/>
    <mergeCell ref="E195:E196"/>
    <mergeCell ref="F195:F196"/>
    <mergeCell ref="G195:G196"/>
    <mergeCell ref="B170:C170"/>
    <mergeCell ref="H195:H196"/>
    <mergeCell ref="I195:I196"/>
    <mergeCell ref="A1:J48"/>
    <mergeCell ref="A173:J176"/>
    <mergeCell ref="A100:J101"/>
    <mergeCell ref="J195:J196"/>
    <mergeCell ref="A200:J201"/>
    <mergeCell ref="A93:A94"/>
    <mergeCell ref="A95:A96"/>
    <mergeCell ref="B71:C71"/>
    <mergeCell ref="F71:G71"/>
    <mergeCell ref="A51:J52"/>
    <mergeCell ref="A75:J76"/>
    <mergeCell ref="A73:J73"/>
    <mergeCell ref="A98:J99"/>
    <mergeCell ref="A122:J123"/>
    <mergeCell ref="A102:J104"/>
    <mergeCell ref="A195:A19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7"/>
  <sheetViews>
    <sheetView view="pageLayout" topLeftCell="A13" zoomScale="98" zoomScaleNormal="100" zoomScalePageLayoutView="98" workbookViewId="0">
      <selection activeCell="A4" sqref="A1:G1048576"/>
    </sheetView>
  </sheetViews>
  <sheetFormatPr defaultRowHeight="15.6" x14ac:dyDescent="0.3"/>
  <cols>
    <col min="1" max="1" width="3.88671875" style="32" bestFit="1" customWidth="1"/>
    <col min="2" max="2" width="9.5546875" customWidth="1"/>
    <col min="3" max="3" width="13.33203125" customWidth="1"/>
    <col min="4" max="4" width="20.44140625" customWidth="1"/>
    <col min="5" max="5" width="9" customWidth="1"/>
    <col min="6" max="6" width="14.33203125" customWidth="1"/>
    <col min="7" max="7" width="16.6640625" customWidth="1"/>
  </cols>
  <sheetData>
    <row r="1" spans="1:41" s="1" customFormat="1" ht="15" customHeight="1" x14ac:dyDescent="0.3">
      <c r="A1" s="61" t="s">
        <v>202</v>
      </c>
      <c r="B1" s="61"/>
      <c r="C1" s="61"/>
      <c r="D1" s="61"/>
      <c r="E1" s="61"/>
      <c r="F1" s="61"/>
      <c r="G1" s="61"/>
      <c r="AN1"/>
      <c r="AO1"/>
    </row>
    <row r="2" spans="1:41" s="1" customFormat="1" ht="15" customHeight="1" x14ac:dyDescent="0.3">
      <c r="A2" s="61"/>
      <c r="B2" s="61"/>
      <c r="C2" s="61"/>
      <c r="D2" s="61"/>
      <c r="E2" s="61"/>
      <c r="F2" s="61"/>
      <c r="G2" s="61"/>
      <c r="AN2"/>
      <c r="AO2"/>
    </row>
    <row r="3" spans="1:41" s="1" customFormat="1" ht="15.75" customHeight="1" x14ac:dyDescent="0.3">
      <c r="A3" s="62" t="s">
        <v>87</v>
      </c>
      <c r="B3" s="62"/>
      <c r="C3" s="62"/>
      <c r="D3" s="62"/>
      <c r="E3" s="62"/>
      <c r="F3" s="62"/>
      <c r="G3" s="62"/>
      <c r="AN3"/>
      <c r="AO3"/>
    </row>
    <row r="4" spans="1:41" s="1" customFormat="1" ht="31.8" x14ac:dyDescent="0.3">
      <c r="A4" s="36" t="s">
        <v>84</v>
      </c>
      <c r="B4" s="34" t="s">
        <v>8</v>
      </c>
      <c r="C4" s="34" t="s">
        <v>11</v>
      </c>
      <c r="D4" s="34" t="s">
        <v>9</v>
      </c>
      <c r="E4" s="34" t="s">
        <v>85</v>
      </c>
      <c r="F4" s="34" t="s">
        <v>86</v>
      </c>
      <c r="G4" s="34" t="s">
        <v>10</v>
      </c>
      <c r="AN4"/>
      <c r="AO4"/>
    </row>
    <row r="5" spans="1:41" s="1" customFormat="1" ht="171.6" x14ac:dyDescent="0.3">
      <c r="A5" s="37">
        <v>1</v>
      </c>
      <c r="B5" s="33" t="s">
        <v>233</v>
      </c>
      <c r="C5" s="33" t="s">
        <v>234</v>
      </c>
      <c r="D5" s="33" t="s">
        <v>235</v>
      </c>
      <c r="E5" s="42" t="s">
        <v>264</v>
      </c>
      <c r="F5" s="59" t="s">
        <v>265</v>
      </c>
      <c r="G5" s="42"/>
      <c r="AN5"/>
      <c r="AO5"/>
    </row>
    <row r="6" spans="1:41" s="1" customFormat="1" ht="47.25" customHeight="1" x14ac:dyDescent="0.3">
      <c r="A6" s="37">
        <v>2</v>
      </c>
      <c r="B6" s="33" t="s">
        <v>253</v>
      </c>
      <c r="C6" s="42" t="s">
        <v>254</v>
      </c>
      <c r="D6" s="42" t="s">
        <v>255</v>
      </c>
      <c r="E6" s="42" t="s">
        <v>266</v>
      </c>
      <c r="F6" s="59" t="s">
        <v>267</v>
      </c>
      <c r="G6" s="42"/>
      <c r="AN6"/>
      <c r="AO6"/>
    </row>
    <row r="7" spans="1:41" s="1" customFormat="1" ht="63" customHeight="1" x14ac:dyDescent="0.3">
      <c r="A7" s="37">
        <v>4</v>
      </c>
      <c r="B7" s="33" t="s">
        <v>58</v>
      </c>
      <c r="C7" s="33" t="s">
        <v>59</v>
      </c>
      <c r="D7" s="33" t="s">
        <v>60</v>
      </c>
      <c r="E7" s="42"/>
      <c r="F7" s="59"/>
      <c r="G7" s="42"/>
      <c r="AN7"/>
      <c r="AO7"/>
    </row>
    <row r="8" spans="1:41" s="1" customFormat="1" ht="204.75" customHeight="1" x14ac:dyDescent="0.3">
      <c r="A8" s="37">
        <v>5</v>
      </c>
      <c r="B8" s="33" t="s">
        <v>61</v>
      </c>
      <c r="C8" s="33" t="s">
        <v>62</v>
      </c>
      <c r="D8" s="33" t="s">
        <v>60</v>
      </c>
      <c r="E8" s="33"/>
      <c r="F8" s="33"/>
      <c r="G8" s="33"/>
      <c r="AN8"/>
      <c r="AO8"/>
    </row>
    <row r="9" spans="1:41" s="1" customFormat="1" ht="31.2" x14ac:dyDescent="0.3">
      <c r="A9" s="37">
        <v>6</v>
      </c>
      <c r="B9" s="33" t="s">
        <v>63</v>
      </c>
      <c r="C9" s="33" t="s">
        <v>64</v>
      </c>
      <c r="D9" s="33" t="s">
        <v>65</v>
      </c>
      <c r="E9" s="33"/>
      <c r="F9" s="33"/>
      <c r="G9" s="33"/>
      <c r="AN9"/>
      <c r="AO9"/>
    </row>
    <row r="10" spans="1:41" s="1" customFormat="1" ht="31.5" customHeight="1" x14ac:dyDescent="0.3">
      <c r="A10" s="37">
        <v>7</v>
      </c>
      <c r="B10" s="33" t="s">
        <v>203</v>
      </c>
      <c r="C10" s="33" t="s">
        <v>204</v>
      </c>
      <c r="D10" s="73" t="s">
        <v>205</v>
      </c>
      <c r="E10" s="76" t="s">
        <v>256</v>
      </c>
      <c r="F10" s="73" t="s">
        <v>257</v>
      </c>
      <c r="G10" s="73"/>
      <c r="AN10"/>
      <c r="AO10"/>
    </row>
    <row r="11" spans="1:41" s="1" customFormat="1" ht="31.5" customHeight="1" x14ac:dyDescent="0.3">
      <c r="A11" s="37">
        <v>8</v>
      </c>
      <c r="B11" s="33" t="s">
        <v>206</v>
      </c>
      <c r="C11" s="33" t="s">
        <v>204</v>
      </c>
      <c r="D11" s="74"/>
      <c r="E11" s="77"/>
      <c r="F11" s="74"/>
      <c r="G11" s="74"/>
      <c r="AN11"/>
      <c r="AO11"/>
    </row>
    <row r="12" spans="1:41" s="1" customFormat="1" ht="31.2" x14ac:dyDescent="0.3">
      <c r="A12" s="37">
        <v>9</v>
      </c>
      <c r="B12" s="33" t="s">
        <v>207</v>
      </c>
      <c r="C12" s="33" t="s">
        <v>204</v>
      </c>
      <c r="D12" s="74"/>
      <c r="E12" s="77"/>
      <c r="F12" s="74"/>
      <c r="G12" s="74"/>
      <c r="AN12"/>
      <c r="AO12"/>
    </row>
    <row r="13" spans="1:41" s="1" customFormat="1" ht="31.5" customHeight="1" x14ac:dyDescent="0.3">
      <c r="A13" s="37">
        <v>10</v>
      </c>
      <c r="B13" s="33" t="s">
        <v>208</v>
      </c>
      <c r="C13" s="33" t="s">
        <v>209</v>
      </c>
      <c r="D13" s="74"/>
      <c r="E13" s="77"/>
      <c r="F13" s="74"/>
      <c r="G13" s="74"/>
      <c r="AN13"/>
      <c r="AO13"/>
    </row>
    <row r="14" spans="1:41" ht="31.2" x14ac:dyDescent="0.3">
      <c r="A14" s="37">
        <v>11</v>
      </c>
      <c r="B14" s="33" t="s">
        <v>210</v>
      </c>
      <c r="C14" s="33" t="s">
        <v>211</v>
      </c>
      <c r="D14" s="74"/>
      <c r="E14" s="77"/>
      <c r="F14" s="74"/>
      <c r="G14" s="74"/>
    </row>
    <row r="15" spans="1:41" ht="31.2" x14ac:dyDescent="0.3">
      <c r="A15" s="37">
        <v>12</v>
      </c>
      <c r="B15" s="33" t="s">
        <v>212</v>
      </c>
      <c r="C15" s="33" t="s">
        <v>204</v>
      </c>
      <c r="D15" s="75"/>
      <c r="E15" s="78"/>
      <c r="F15" s="75"/>
      <c r="G15" s="75"/>
    </row>
    <row r="16" spans="1:41" ht="62.4" x14ac:dyDescent="0.3">
      <c r="A16" s="37">
        <v>13</v>
      </c>
      <c r="B16" s="33" t="s">
        <v>268</v>
      </c>
      <c r="C16" s="33" t="s">
        <v>269</v>
      </c>
      <c r="D16" s="33" t="s">
        <v>270</v>
      </c>
      <c r="E16" s="42" t="s">
        <v>271</v>
      </c>
      <c r="F16" s="59" t="s">
        <v>272</v>
      </c>
      <c r="G16" s="42"/>
    </row>
    <row r="17" spans="1:7" ht="62.4" x14ac:dyDescent="0.3">
      <c r="A17" s="37">
        <v>14</v>
      </c>
      <c r="B17" s="33" t="s">
        <v>273</v>
      </c>
      <c r="C17" s="33" t="s">
        <v>274</v>
      </c>
      <c r="D17" s="33" t="s">
        <v>275</v>
      </c>
      <c r="E17" s="42" t="s">
        <v>276</v>
      </c>
      <c r="F17" s="59"/>
      <c r="G17" s="42"/>
    </row>
  </sheetData>
  <mergeCells count="6">
    <mergeCell ref="A1:G2"/>
    <mergeCell ref="A3:G3"/>
    <mergeCell ref="D10:D15"/>
    <mergeCell ref="E10:E15"/>
    <mergeCell ref="F10:F15"/>
    <mergeCell ref="G10:G15"/>
  </mergeCells>
  <pageMargins left="0.70866141732283472" right="0.62992125984251968" top="0.74803149606299213"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220"/>
  <sheetViews>
    <sheetView showGridLines="0" showWhiteSpace="0" view="pageLayout" topLeftCell="A226" zoomScale="93" zoomScaleNormal="100" zoomScaleSheetLayoutView="100" zoomScalePageLayoutView="93" workbookViewId="0">
      <selection activeCell="A103" sqref="A103:J105"/>
    </sheetView>
  </sheetViews>
  <sheetFormatPr defaultColWidth="9.109375" defaultRowHeight="14.4" x14ac:dyDescent="0.3"/>
  <cols>
    <col min="1" max="1" width="13.109375" style="1" customWidth="1"/>
    <col min="2" max="10" width="7.6640625" style="1" customWidth="1"/>
    <col min="11" max="21" width="9.109375" style="1"/>
    <col min="22" max="22" width="11" style="1" customWidth="1"/>
    <col min="23" max="42" width="9.109375" style="1"/>
    <col min="45" max="261" width="9.109375" style="1"/>
    <col min="262" max="262" width="14.5546875" style="1" customWidth="1"/>
    <col min="263" max="263" width="15.5546875" style="1" customWidth="1"/>
    <col min="264" max="264" width="16.5546875" style="1" customWidth="1"/>
    <col min="265" max="265" width="11.33203125" style="1" customWidth="1"/>
    <col min="266" max="277" width="9.109375" style="1"/>
    <col min="278" max="278" width="11" style="1" customWidth="1"/>
    <col min="279" max="517" width="9.109375" style="1"/>
    <col min="518" max="518" width="14.5546875" style="1" customWidth="1"/>
    <col min="519" max="519" width="15.5546875" style="1" customWidth="1"/>
    <col min="520" max="520" width="16.5546875" style="1" customWidth="1"/>
    <col min="521" max="521" width="11.33203125" style="1" customWidth="1"/>
    <col min="522" max="533" width="9.109375" style="1"/>
    <col min="534" max="534" width="11" style="1" customWidth="1"/>
    <col min="535" max="773" width="9.109375" style="1"/>
    <col min="774" max="774" width="14.5546875" style="1" customWidth="1"/>
    <col min="775" max="775" width="15.5546875" style="1" customWidth="1"/>
    <col min="776" max="776" width="16.5546875" style="1" customWidth="1"/>
    <col min="777" max="777" width="11.33203125" style="1" customWidth="1"/>
    <col min="778" max="789" width="9.109375" style="1"/>
    <col min="790" max="790" width="11" style="1" customWidth="1"/>
    <col min="791" max="1029" width="9.109375" style="1"/>
    <col min="1030" max="1030" width="14.5546875" style="1" customWidth="1"/>
    <col min="1031" max="1031" width="15.5546875" style="1" customWidth="1"/>
    <col min="1032" max="1032" width="16.5546875" style="1" customWidth="1"/>
    <col min="1033" max="1033" width="11.33203125" style="1" customWidth="1"/>
    <col min="1034" max="1045" width="9.109375" style="1"/>
    <col min="1046" max="1046" width="11" style="1" customWidth="1"/>
    <col min="1047" max="1285" width="9.109375" style="1"/>
    <col min="1286" max="1286" width="14.5546875" style="1" customWidth="1"/>
    <col min="1287" max="1287" width="15.5546875" style="1" customWidth="1"/>
    <col min="1288" max="1288" width="16.5546875" style="1" customWidth="1"/>
    <col min="1289" max="1289" width="11.33203125" style="1" customWidth="1"/>
    <col min="1290" max="1301" width="9.109375" style="1"/>
    <col min="1302" max="1302" width="11" style="1" customWidth="1"/>
    <col min="1303" max="1541" width="9.109375" style="1"/>
    <col min="1542" max="1542" width="14.5546875" style="1" customWidth="1"/>
    <col min="1543" max="1543" width="15.5546875" style="1" customWidth="1"/>
    <col min="1544" max="1544" width="16.5546875" style="1" customWidth="1"/>
    <col min="1545" max="1545" width="11.33203125" style="1" customWidth="1"/>
    <col min="1546" max="1557" width="9.109375" style="1"/>
    <col min="1558" max="1558" width="11" style="1" customWidth="1"/>
    <col min="1559" max="1797" width="9.109375" style="1"/>
    <col min="1798" max="1798" width="14.5546875" style="1" customWidth="1"/>
    <col min="1799" max="1799" width="15.5546875" style="1" customWidth="1"/>
    <col min="1800" max="1800" width="16.5546875" style="1" customWidth="1"/>
    <col min="1801" max="1801" width="11.33203125" style="1" customWidth="1"/>
    <col min="1802" max="1813" width="9.109375" style="1"/>
    <col min="1814" max="1814" width="11" style="1" customWidth="1"/>
    <col min="1815" max="2053" width="9.109375" style="1"/>
    <col min="2054" max="2054" width="14.5546875" style="1" customWidth="1"/>
    <col min="2055" max="2055" width="15.5546875" style="1" customWidth="1"/>
    <col min="2056" max="2056" width="16.5546875" style="1" customWidth="1"/>
    <col min="2057" max="2057" width="11.33203125" style="1" customWidth="1"/>
    <col min="2058" max="2069" width="9.109375" style="1"/>
    <col min="2070" max="2070" width="11" style="1" customWidth="1"/>
    <col min="2071" max="2309" width="9.109375" style="1"/>
    <col min="2310" max="2310" width="14.5546875" style="1" customWidth="1"/>
    <col min="2311" max="2311" width="15.5546875" style="1" customWidth="1"/>
    <col min="2312" max="2312" width="16.5546875" style="1" customWidth="1"/>
    <col min="2313" max="2313" width="11.33203125" style="1" customWidth="1"/>
    <col min="2314" max="2325" width="9.109375" style="1"/>
    <col min="2326" max="2326" width="11" style="1" customWidth="1"/>
    <col min="2327" max="2565" width="9.109375" style="1"/>
    <col min="2566" max="2566" width="14.5546875" style="1" customWidth="1"/>
    <col min="2567" max="2567" width="15.5546875" style="1" customWidth="1"/>
    <col min="2568" max="2568" width="16.5546875" style="1" customWidth="1"/>
    <col min="2569" max="2569" width="11.33203125" style="1" customWidth="1"/>
    <col min="2570" max="2581" width="9.109375" style="1"/>
    <col min="2582" max="2582" width="11" style="1" customWidth="1"/>
    <col min="2583" max="2821" width="9.109375" style="1"/>
    <col min="2822" max="2822" width="14.5546875" style="1" customWidth="1"/>
    <col min="2823" max="2823" width="15.5546875" style="1" customWidth="1"/>
    <col min="2824" max="2824" width="16.5546875" style="1" customWidth="1"/>
    <col min="2825" max="2825" width="11.33203125" style="1" customWidth="1"/>
    <col min="2826" max="2837" width="9.109375" style="1"/>
    <col min="2838" max="2838" width="11" style="1" customWidth="1"/>
    <col min="2839" max="3077" width="9.109375" style="1"/>
    <col min="3078" max="3078" width="14.5546875" style="1" customWidth="1"/>
    <col min="3079" max="3079" width="15.5546875" style="1" customWidth="1"/>
    <col min="3080" max="3080" width="16.5546875" style="1" customWidth="1"/>
    <col min="3081" max="3081" width="11.33203125" style="1" customWidth="1"/>
    <col min="3082" max="3093" width="9.109375" style="1"/>
    <col min="3094" max="3094" width="11" style="1" customWidth="1"/>
    <col min="3095" max="3333" width="9.109375" style="1"/>
    <col min="3334" max="3334" width="14.5546875" style="1" customWidth="1"/>
    <col min="3335" max="3335" width="15.5546875" style="1" customWidth="1"/>
    <col min="3336" max="3336" width="16.5546875" style="1" customWidth="1"/>
    <col min="3337" max="3337" width="11.33203125" style="1" customWidth="1"/>
    <col min="3338" max="3349" width="9.109375" style="1"/>
    <col min="3350" max="3350" width="11" style="1" customWidth="1"/>
    <col min="3351" max="3589" width="9.109375" style="1"/>
    <col min="3590" max="3590" width="14.5546875" style="1" customWidth="1"/>
    <col min="3591" max="3591" width="15.5546875" style="1" customWidth="1"/>
    <col min="3592" max="3592" width="16.5546875" style="1" customWidth="1"/>
    <col min="3593" max="3593" width="11.33203125" style="1" customWidth="1"/>
    <col min="3594" max="3605" width="9.109375" style="1"/>
    <col min="3606" max="3606" width="11" style="1" customWidth="1"/>
    <col min="3607" max="3845" width="9.109375" style="1"/>
    <col min="3846" max="3846" width="14.5546875" style="1" customWidth="1"/>
    <col min="3847" max="3847" width="15.5546875" style="1" customWidth="1"/>
    <col min="3848" max="3848" width="16.5546875" style="1" customWidth="1"/>
    <col min="3849" max="3849" width="11.33203125" style="1" customWidth="1"/>
    <col min="3850" max="3861" width="9.109375" style="1"/>
    <col min="3862" max="3862" width="11" style="1" customWidth="1"/>
    <col min="3863" max="4101" width="9.109375" style="1"/>
    <col min="4102" max="4102" width="14.5546875" style="1" customWidth="1"/>
    <col min="4103" max="4103" width="15.5546875" style="1" customWidth="1"/>
    <col min="4104" max="4104" width="16.5546875" style="1" customWidth="1"/>
    <col min="4105" max="4105" width="11.33203125" style="1" customWidth="1"/>
    <col min="4106" max="4117" width="9.109375" style="1"/>
    <col min="4118" max="4118" width="11" style="1" customWidth="1"/>
    <col min="4119" max="4357" width="9.109375" style="1"/>
    <col min="4358" max="4358" width="14.5546875" style="1" customWidth="1"/>
    <col min="4359" max="4359" width="15.5546875" style="1" customWidth="1"/>
    <col min="4360" max="4360" width="16.5546875" style="1" customWidth="1"/>
    <col min="4361" max="4361" width="11.33203125" style="1" customWidth="1"/>
    <col min="4362" max="4373" width="9.109375" style="1"/>
    <col min="4374" max="4374" width="11" style="1" customWidth="1"/>
    <col min="4375" max="4613" width="9.109375" style="1"/>
    <col min="4614" max="4614" width="14.5546875" style="1" customWidth="1"/>
    <col min="4615" max="4615" width="15.5546875" style="1" customWidth="1"/>
    <col min="4616" max="4616" width="16.5546875" style="1" customWidth="1"/>
    <col min="4617" max="4617" width="11.33203125" style="1" customWidth="1"/>
    <col min="4618" max="4629" width="9.109375" style="1"/>
    <col min="4630" max="4630" width="11" style="1" customWidth="1"/>
    <col min="4631" max="4869" width="9.109375" style="1"/>
    <col min="4870" max="4870" width="14.5546875" style="1" customWidth="1"/>
    <col min="4871" max="4871" width="15.5546875" style="1" customWidth="1"/>
    <col min="4872" max="4872" width="16.5546875" style="1" customWidth="1"/>
    <col min="4873" max="4873" width="11.33203125" style="1" customWidth="1"/>
    <col min="4874" max="4885" width="9.109375" style="1"/>
    <col min="4886" max="4886" width="11" style="1" customWidth="1"/>
    <col min="4887" max="5125" width="9.109375" style="1"/>
    <col min="5126" max="5126" width="14.5546875" style="1" customWidth="1"/>
    <col min="5127" max="5127" width="15.5546875" style="1" customWidth="1"/>
    <col min="5128" max="5128" width="16.5546875" style="1" customWidth="1"/>
    <col min="5129" max="5129" width="11.33203125" style="1" customWidth="1"/>
    <col min="5130" max="5141" width="9.109375" style="1"/>
    <col min="5142" max="5142" width="11" style="1" customWidth="1"/>
    <col min="5143" max="5381" width="9.109375" style="1"/>
    <col min="5382" max="5382" width="14.5546875" style="1" customWidth="1"/>
    <col min="5383" max="5383" width="15.5546875" style="1" customWidth="1"/>
    <col min="5384" max="5384" width="16.5546875" style="1" customWidth="1"/>
    <col min="5385" max="5385" width="11.33203125" style="1" customWidth="1"/>
    <col min="5386" max="5397" width="9.109375" style="1"/>
    <col min="5398" max="5398" width="11" style="1" customWidth="1"/>
    <col min="5399" max="5637" width="9.109375" style="1"/>
    <col min="5638" max="5638" width="14.5546875" style="1" customWidth="1"/>
    <col min="5639" max="5639" width="15.5546875" style="1" customWidth="1"/>
    <col min="5640" max="5640" width="16.5546875" style="1" customWidth="1"/>
    <col min="5641" max="5641" width="11.33203125" style="1" customWidth="1"/>
    <col min="5642" max="5653" width="9.109375" style="1"/>
    <col min="5654" max="5654" width="11" style="1" customWidth="1"/>
    <col min="5655" max="5893" width="9.109375" style="1"/>
    <col min="5894" max="5894" width="14.5546875" style="1" customWidth="1"/>
    <col min="5895" max="5895" width="15.5546875" style="1" customWidth="1"/>
    <col min="5896" max="5896" width="16.5546875" style="1" customWidth="1"/>
    <col min="5897" max="5897" width="11.33203125" style="1" customWidth="1"/>
    <col min="5898" max="5909" width="9.109375" style="1"/>
    <col min="5910" max="5910" width="11" style="1" customWidth="1"/>
    <col min="5911" max="6149" width="9.109375" style="1"/>
    <col min="6150" max="6150" width="14.5546875" style="1" customWidth="1"/>
    <col min="6151" max="6151" width="15.5546875" style="1" customWidth="1"/>
    <col min="6152" max="6152" width="16.5546875" style="1" customWidth="1"/>
    <col min="6153" max="6153" width="11.33203125" style="1" customWidth="1"/>
    <col min="6154" max="6165" width="9.109375" style="1"/>
    <col min="6166" max="6166" width="11" style="1" customWidth="1"/>
    <col min="6167" max="6405" width="9.109375" style="1"/>
    <col min="6406" max="6406" width="14.5546875" style="1" customWidth="1"/>
    <col min="6407" max="6407" width="15.5546875" style="1" customWidth="1"/>
    <col min="6408" max="6408" width="16.5546875" style="1" customWidth="1"/>
    <col min="6409" max="6409" width="11.33203125" style="1" customWidth="1"/>
    <col min="6410" max="6421" width="9.109375" style="1"/>
    <col min="6422" max="6422" width="11" style="1" customWidth="1"/>
    <col min="6423" max="6661" width="9.109375" style="1"/>
    <col min="6662" max="6662" width="14.5546875" style="1" customWidth="1"/>
    <col min="6663" max="6663" width="15.5546875" style="1" customWidth="1"/>
    <col min="6664" max="6664" width="16.5546875" style="1" customWidth="1"/>
    <col min="6665" max="6665" width="11.33203125" style="1" customWidth="1"/>
    <col min="6666" max="6677" width="9.109375" style="1"/>
    <col min="6678" max="6678" width="11" style="1" customWidth="1"/>
    <col min="6679" max="6917" width="9.109375" style="1"/>
    <col min="6918" max="6918" width="14.5546875" style="1" customWidth="1"/>
    <col min="6919" max="6919" width="15.5546875" style="1" customWidth="1"/>
    <col min="6920" max="6920" width="16.5546875" style="1" customWidth="1"/>
    <col min="6921" max="6921" width="11.33203125" style="1" customWidth="1"/>
    <col min="6922" max="6933" width="9.109375" style="1"/>
    <col min="6934" max="6934" width="11" style="1" customWidth="1"/>
    <col min="6935" max="7173" width="9.109375" style="1"/>
    <col min="7174" max="7174" width="14.5546875" style="1" customWidth="1"/>
    <col min="7175" max="7175" width="15.5546875" style="1" customWidth="1"/>
    <col min="7176" max="7176" width="16.5546875" style="1" customWidth="1"/>
    <col min="7177" max="7177" width="11.33203125" style="1" customWidth="1"/>
    <col min="7178" max="7189" width="9.109375" style="1"/>
    <col min="7190" max="7190" width="11" style="1" customWidth="1"/>
    <col min="7191" max="7429" width="9.109375" style="1"/>
    <col min="7430" max="7430" width="14.5546875" style="1" customWidth="1"/>
    <col min="7431" max="7431" width="15.5546875" style="1" customWidth="1"/>
    <col min="7432" max="7432" width="16.5546875" style="1" customWidth="1"/>
    <col min="7433" max="7433" width="11.33203125" style="1" customWidth="1"/>
    <col min="7434" max="7445" width="9.109375" style="1"/>
    <col min="7446" max="7446" width="11" style="1" customWidth="1"/>
    <col min="7447" max="7685" width="9.109375" style="1"/>
    <col min="7686" max="7686" width="14.5546875" style="1" customWidth="1"/>
    <col min="7687" max="7687" width="15.5546875" style="1" customWidth="1"/>
    <col min="7688" max="7688" width="16.5546875" style="1" customWidth="1"/>
    <col min="7689" max="7689" width="11.33203125" style="1" customWidth="1"/>
    <col min="7690" max="7701" width="9.109375" style="1"/>
    <col min="7702" max="7702" width="11" style="1" customWidth="1"/>
    <col min="7703" max="7941" width="9.109375" style="1"/>
    <col min="7942" max="7942" width="14.5546875" style="1" customWidth="1"/>
    <col min="7943" max="7943" width="15.5546875" style="1" customWidth="1"/>
    <col min="7944" max="7944" width="16.5546875" style="1" customWidth="1"/>
    <col min="7945" max="7945" width="11.33203125" style="1" customWidth="1"/>
    <col min="7946" max="7957" width="9.109375" style="1"/>
    <col min="7958" max="7958" width="11" style="1" customWidth="1"/>
    <col min="7959" max="8197" width="9.109375" style="1"/>
    <col min="8198" max="8198" width="14.5546875" style="1" customWidth="1"/>
    <col min="8199" max="8199" width="15.5546875" style="1" customWidth="1"/>
    <col min="8200" max="8200" width="16.5546875" style="1" customWidth="1"/>
    <col min="8201" max="8201" width="11.33203125" style="1" customWidth="1"/>
    <col min="8202" max="8213" width="9.109375" style="1"/>
    <col min="8214" max="8214" width="11" style="1" customWidth="1"/>
    <col min="8215" max="8453" width="9.109375" style="1"/>
    <col min="8454" max="8454" width="14.5546875" style="1" customWidth="1"/>
    <col min="8455" max="8455" width="15.5546875" style="1" customWidth="1"/>
    <col min="8456" max="8456" width="16.5546875" style="1" customWidth="1"/>
    <col min="8457" max="8457" width="11.33203125" style="1" customWidth="1"/>
    <col min="8458" max="8469" width="9.109375" style="1"/>
    <col min="8470" max="8470" width="11" style="1" customWidth="1"/>
    <col min="8471" max="8709" width="9.109375" style="1"/>
    <col min="8710" max="8710" width="14.5546875" style="1" customWidth="1"/>
    <col min="8711" max="8711" width="15.5546875" style="1" customWidth="1"/>
    <col min="8712" max="8712" width="16.5546875" style="1" customWidth="1"/>
    <col min="8713" max="8713" width="11.33203125" style="1" customWidth="1"/>
    <col min="8714" max="8725" width="9.109375" style="1"/>
    <col min="8726" max="8726" width="11" style="1" customWidth="1"/>
    <col min="8727" max="8965" width="9.109375" style="1"/>
    <col min="8966" max="8966" width="14.5546875" style="1" customWidth="1"/>
    <col min="8967" max="8967" width="15.5546875" style="1" customWidth="1"/>
    <col min="8968" max="8968" width="16.5546875" style="1" customWidth="1"/>
    <col min="8969" max="8969" width="11.33203125" style="1" customWidth="1"/>
    <col min="8970" max="8981" width="9.109375" style="1"/>
    <col min="8982" max="8982" width="11" style="1" customWidth="1"/>
    <col min="8983" max="9221" width="9.109375" style="1"/>
    <col min="9222" max="9222" width="14.5546875" style="1" customWidth="1"/>
    <col min="9223" max="9223" width="15.5546875" style="1" customWidth="1"/>
    <col min="9224" max="9224" width="16.5546875" style="1" customWidth="1"/>
    <col min="9225" max="9225" width="11.33203125" style="1" customWidth="1"/>
    <col min="9226" max="9237" width="9.109375" style="1"/>
    <col min="9238" max="9238" width="11" style="1" customWidth="1"/>
    <col min="9239" max="9477" width="9.109375" style="1"/>
    <col min="9478" max="9478" width="14.5546875" style="1" customWidth="1"/>
    <col min="9479" max="9479" width="15.5546875" style="1" customWidth="1"/>
    <col min="9480" max="9480" width="16.5546875" style="1" customWidth="1"/>
    <col min="9481" max="9481" width="11.33203125" style="1" customWidth="1"/>
    <col min="9482" max="9493" width="9.109375" style="1"/>
    <col min="9494" max="9494" width="11" style="1" customWidth="1"/>
    <col min="9495" max="9733" width="9.109375" style="1"/>
    <col min="9734" max="9734" width="14.5546875" style="1" customWidth="1"/>
    <col min="9735" max="9735" width="15.5546875" style="1" customWidth="1"/>
    <col min="9736" max="9736" width="16.5546875" style="1" customWidth="1"/>
    <col min="9737" max="9737" width="11.33203125" style="1" customWidth="1"/>
    <col min="9738" max="9749" width="9.109375" style="1"/>
    <col min="9750" max="9750" width="11" style="1" customWidth="1"/>
    <col min="9751" max="9989" width="9.109375" style="1"/>
    <col min="9990" max="9990" width="14.5546875" style="1" customWidth="1"/>
    <col min="9991" max="9991" width="15.5546875" style="1" customWidth="1"/>
    <col min="9992" max="9992" width="16.5546875" style="1" customWidth="1"/>
    <col min="9993" max="9993" width="11.33203125" style="1" customWidth="1"/>
    <col min="9994" max="10005" width="9.109375" style="1"/>
    <col min="10006" max="10006" width="11" style="1" customWidth="1"/>
    <col min="10007" max="10245" width="9.109375" style="1"/>
    <col min="10246" max="10246" width="14.5546875" style="1" customWidth="1"/>
    <col min="10247" max="10247" width="15.5546875" style="1" customWidth="1"/>
    <col min="10248" max="10248" width="16.5546875" style="1" customWidth="1"/>
    <col min="10249" max="10249" width="11.33203125" style="1" customWidth="1"/>
    <col min="10250" max="10261" width="9.109375" style="1"/>
    <col min="10262" max="10262" width="11" style="1" customWidth="1"/>
    <col min="10263" max="10501" width="9.109375" style="1"/>
    <col min="10502" max="10502" width="14.5546875" style="1" customWidth="1"/>
    <col min="10503" max="10503" width="15.5546875" style="1" customWidth="1"/>
    <col min="10504" max="10504" width="16.5546875" style="1" customWidth="1"/>
    <col min="10505" max="10505" width="11.33203125" style="1" customWidth="1"/>
    <col min="10506" max="10517" width="9.109375" style="1"/>
    <col min="10518" max="10518" width="11" style="1" customWidth="1"/>
    <col min="10519" max="10757" width="9.109375" style="1"/>
    <col min="10758" max="10758" width="14.5546875" style="1" customWidth="1"/>
    <col min="10759" max="10759" width="15.5546875" style="1" customWidth="1"/>
    <col min="10760" max="10760" width="16.5546875" style="1" customWidth="1"/>
    <col min="10761" max="10761" width="11.33203125" style="1" customWidth="1"/>
    <col min="10762" max="10773" width="9.109375" style="1"/>
    <col min="10774" max="10774" width="11" style="1" customWidth="1"/>
    <col min="10775" max="11013" width="9.109375" style="1"/>
    <col min="11014" max="11014" width="14.5546875" style="1" customWidth="1"/>
    <col min="11015" max="11015" width="15.5546875" style="1" customWidth="1"/>
    <col min="11016" max="11016" width="16.5546875" style="1" customWidth="1"/>
    <col min="11017" max="11017" width="11.33203125" style="1" customWidth="1"/>
    <col min="11018" max="11029" width="9.109375" style="1"/>
    <col min="11030" max="11030" width="11" style="1" customWidth="1"/>
    <col min="11031" max="11269" width="9.109375" style="1"/>
    <col min="11270" max="11270" width="14.5546875" style="1" customWidth="1"/>
    <col min="11271" max="11271" width="15.5546875" style="1" customWidth="1"/>
    <col min="11272" max="11272" width="16.5546875" style="1" customWidth="1"/>
    <col min="11273" max="11273" width="11.33203125" style="1" customWidth="1"/>
    <col min="11274" max="11285" width="9.109375" style="1"/>
    <col min="11286" max="11286" width="11" style="1" customWidth="1"/>
    <col min="11287" max="11525" width="9.109375" style="1"/>
    <col min="11526" max="11526" width="14.5546875" style="1" customWidth="1"/>
    <col min="11527" max="11527" width="15.5546875" style="1" customWidth="1"/>
    <col min="11528" max="11528" width="16.5546875" style="1" customWidth="1"/>
    <col min="11529" max="11529" width="11.33203125" style="1" customWidth="1"/>
    <col min="11530" max="11541" width="9.109375" style="1"/>
    <col min="11542" max="11542" width="11" style="1" customWidth="1"/>
    <col min="11543" max="11781" width="9.109375" style="1"/>
    <col min="11782" max="11782" width="14.5546875" style="1" customWidth="1"/>
    <col min="11783" max="11783" width="15.5546875" style="1" customWidth="1"/>
    <col min="11784" max="11784" width="16.5546875" style="1" customWidth="1"/>
    <col min="11785" max="11785" width="11.33203125" style="1" customWidth="1"/>
    <col min="11786" max="11797" width="9.109375" style="1"/>
    <col min="11798" max="11798" width="11" style="1" customWidth="1"/>
    <col min="11799" max="12037" width="9.109375" style="1"/>
    <col min="12038" max="12038" width="14.5546875" style="1" customWidth="1"/>
    <col min="12039" max="12039" width="15.5546875" style="1" customWidth="1"/>
    <col min="12040" max="12040" width="16.5546875" style="1" customWidth="1"/>
    <col min="12041" max="12041" width="11.33203125" style="1" customWidth="1"/>
    <col min="12042" max="12053" width="9.109375" style="1"/>
    <col min="12054" max="12054" width="11" style="1" customWidth="1"/>
    <col min="12055" max="12293" width="9.109375" style="1"/>
    <col min="12294" max="12294" width="14.5546875" style="1" customWidth="1"/>
    <col min="12295" max="12295" width="15.5546875" style="1" customWidth="1"/>
    <col min="12296" max="12296" width="16.5546875" style="1" customWidth="1"/>
    <col min="12297" max="12297" width="11.33203125" style="1" customWidth="1"/>
    <col min="12298" max="12309" width="9.109375" style="1"/>
    <col min="12310" max="12310" width="11" style="1" customWidth="1"/>
    <col min="12311" max="12549" width="9.109375" style="1"/>
    <col min="12550" max="12550" width="14.5546875" style="1" customWidth="1"/>
    <col min="12551" max="12551" width="15.5546875" style="1" customWidth="1"/>
    <col min="12552" max="12552" width="16.5546875" style="1" customWidth="1"/>
    <col min="12553" max="12553" width="11.33203125" style="1" customWidth="1"/>
    <col min="12554" max="12565" width="9.109375" style="1"/>
    <col min="12566" max="12566" width="11" style="1" customWidth="1"/>
    <col min="12567" max="12805" width="9.109375" style="1"/>
    <col min="12806" max="12806" width="14.5546875" style="1" customWidth="1"/>
    <col min="12807" max="12807" width="15.5546875" style="1" customWidth="1"/>
    <col min="12808" max="12808" width="16.5546875" style="1" customWidth="1"/>
    <col min="12809" max="12809" width="11.33203125" style="1" customWidth="1"/>
    <col min="12810" max="12821" width="9.109375" style="1"/>
    <col min="12822" max="12822" width="11" style="1" customWidth="1"/>
    <col min="12823" max="13061" width="9.109375" style="1"/>
    <col min="13062" max="13062" width="14.5546875" style="1" customWidth="1"/>
    <col min="13063" max="13063" width="15.5546875" style="1" customWidth="1"/>
    <col min="13064" max="13064" width="16.5546875" style="1" customWidth="1"/>
    <col min="13065" max="13065" width="11.33203125" style="1" customWidth="1"/>
    <col min="13066" max="13077" width="9.109375" style="1"/>
    <col min="13078" max="13078" width="11" style="1" customWidth="1"/>
    <col min="13079" max="13317" width="9.109375" style="1"/>
    <col min="13318" max="13318" width="14.5546875" style="1" customWidth="1"/>
    <col min="13319" max="13319" width="15.5546875" style="1" customWidth="1"/>
    <col min="13320" max="13320" width="16.5546875" style="1" customWidth="1"/>
    <col min="13321" max="13321" width="11.33203125" style="1" customWidth="1"/>
    <col min="13322" max="13333" width="9.109375" style="1"/>
    <col min="13334" max="13334" width="11" style="1" customWidth="1"/>
    <col min="13335" max="13573" width="9.109375" style="1"/>
    <col min="13574" max="13574" width="14.5546875" style="1" customWidth="1"/>
    <col min="13575" max="13575" width="15.5546875" style="1" customWidth="1"/>
    <col min="13576" max="13576" width="16.5546875" style="1" customWidth="1"/>
    <col min="13577" max="13577" width="11.33203125" style="1" customWidth="1"/>
    <col min="13578" max="13589" width="9.109375" style="1"/>
    <col min="13590" max="13590" width="11" style="1" customWidth="1"/>
    <col min="13591" max="13829" width="9.109375" style="1"/>
    <col min="13830" max="13830" width="14.5546875" style="1" customWidth="1"/>
    <col min="13831" max="13831" width="15.5546875" style="1" customWidth="1"/>
    <col min="13832" max="13832" width="16.5546875" style="1" customWidth="1"/>
    <col min="13833" max="13833" width="11.33203125" style="1" customWidth="1"/>
    <col min="13834" max="13845" width="9.109375" style="1"/>
    <col min="13846" max="13846" width="11" style="1" customWidth="1"/>
    <col min="13847" max="14085" width="9.109375" style="1"/>
    <col min="14086" max="14086" width="14.5546875" style="1" customWidth="1"/>
    <col min="14087" max="14087" width="15.5546875" style="1" customWidth="1"/>
    <col min="14088" max="14088" width="16.5546875" style="1" customWidth="1"/>
    <col min="14089" max="14089" width="11.33203125" style="1" customWidth="1"/>
    <col min="14090" max="14101" width="9.109375" style="1"/>
    <col min="14102" max="14102" width="11" style="1" customWidth="1"/>
    <col min="14103" max="14341" width="9.109375" style="1"/>
    <col min="14342" max="14342" width="14.5546875" style="1" customWidth="1"/>
    <col min="14343" max="14343" width="15.5546875" style="1" customWidth="1"/>
    <col min="14344" max="14344" width="16.5546875" style="1" customWidth="1"/>
    <col min="14345" max="14345" width="11.33203125" style="1" customWidth="1"/>
    <col min="14346" max="14357" width="9.109375" style="1"/>
    <col min="14358" max="14358" width="11" style="1" customWidth="1"/>
    <col min="14359" max="14597" width="9.109375" style="1"/>
    <col min="14598" max="14598" width="14.5546875" style="1" customWidth="1"/>
    <col min="14599" max="14599" width="15.5546875" style="1" customWidth="1"/>
    <col min="14600" max="14600" width="16.5546875" style="1" customWidth="1"/>
    <col min="14601" max="14601" width="11.33203125" style="1" customWidth="1"/>
    <col min="14602" max="14613" width="9.109375" style="1"/>
    <col min="14614" max="14614" width="11" style="1" customWidth="1"/>
    <col min="14615" max="14853" width="9.109375" style="1"/>
    <col min="14854" max="14854" width="14.5546875" style="1" customWidth="1"/>
    <col min="14855" max="14855" width="15.5546875" style="1" customWidth="1"/>
    <col min="14856" max="14856" width="16.5546875" style="1" customWidth="1"/>
    <col min="14857" max="14857" width="11.33203125" style="1" customWidth="1"/>
    <col min="14858" max="14869" width="9.109375" style="1"/>
    <col min="14870" max="14870" width="11" style="1" customWidth="1"/>
    <col min="14871" max="15109" width="9.109375" style="1"/>
    <col min="15110" max="15110" width="14.5546875" style="1" customWidth="1"/>
    <col min="15111" max="15111" width="15.5546875" style="1" customWidth="1"/>
    <col min="15112" max="15112" width="16.5546875" style="1" customWidth="1"/>
    <col min="15113" max="15113" width="11.33203125" style="1" customWidth="1"/>
    <col min="15114" max="15125" width="9.109375" style="1"/>
    <col min="15126" max="15126" width="11" style="1" customWidth="1"/>
    <col min="15127" max="15365" width="9.109375" style="1"/>
    <col min="15366" max="15366" width="14.5546875" style="1" customWidth="1"/>
    <col min="15367" max="15367" width="15.5546875" style="1" customWidth="1"/>
    <col min="15368" max="15368" width="16.5546875" style="1" customWidth="1"/>
    <col min="15369" max="15369" width="11.33203125" style="1" customWidth="1"/>
    <col min="15370" max="15381" width="9.109375" style="1"/>
    <col min="15382" max="15382" width="11" style="1" customWidth="1"/>
    <col min="15383" max="15621" width="9.109375" style="1"/>
    <col min="15622" max="15622" width="14.5546875" style="1" customWidth="1"/>
    <col min="15623" max="15623" width="15.5546875" style="1" customWidth="1"/>
    <col min="15624" max="15624" width="16.5546875" style="1" customWidth="1"/>
    <col min="15625" max="15625" width="11.33203125" style="1" customWidth="1"/>
    <col min="15626" max="15637" width="9.109375" style="1"/>
    <col min="15638" max="15638" width="11" style="1" customWidth="1"/>
    <col min="15639" max="15877" width="9.109375" style="1"/>
    <col min="15878" max="15878" width="14.5546875" style="1" customWidth="1"/>
    <col min="15879" max="15879" width="15.5546875" style="1" customWidth="1"/>
    <col min="15880" max="15880" width="16.5546875" style="1" customWidth="1"/>
    <col min="15881" max="15881" width="11.33203125" style="1" customWidth="1"/>
    <col min="15882" max="15893" width="9.109375" style="1"/>
    <col min="15894" max="15894" width="11" style="1" customWidth="1"/>
    <col min="15895" max="16133" width="9.109375" style="1"/>
    <col min="16134" max="16134" width="14.5546875" style="1" customWidth="1"/>
    <col min="16135" max="16135" width="15.5546875" style="1" customWidth="1"/>
    <col min="16136" max="16136" width="16.5546875" style="1" customWidth="1"/>
    <col min="16137" max="16137" width="11.33203125" style="1" customWidth="1"/>
    <col min="16138" max="16149" width="9.109375" style="1"/>
    <col min="16150" max="16150" width="11" style="1" customWidth="1"/>
    <col min="16151" max="16384" width="9.109375" style="1"/>
  </cols>
  <sheetData>
    <row r="1" spans="1:44" ht="15" customHeight="1" x14ac:dyDescent="0.3">
      <c r="A1" s="63" t="s">
        <v>17</v>
      </c>
      <c r="B1" s="63"/>
      <c r="C1" s="63"/>
      <c r="D1" s="63"/>
      <c r="E1" s="63"/>
      <c r="F1" s="63"/>
      <c r="G1" s="63"/>
      <c r="H1" s="63"/>
      <c r="I1" s="63"/>
      <c r="J1" s="63"/>
    </row>
    <row r="2" spans="1:44" ht="15" customHeight="1" x14ac:dyDescent="0.3">
      <c r="A2" s="63"/>
      <c r="B2" s="63"/>
      <c r="C2" s="63"/>
      <c r="D2" s="63"/>
      <c r="E2" s="63"/>
      <c r="F2" s="63"/>
      <c r="G2" s="63"/>
      <c r="H2" s="63"/>
      <c r="I2" s="63"/>
      <c r="J2" s="63"/>
    </row>
    <row r="3" spans="1:44" ht="15" customHeight="1" x14ac:dyDescent="0.3">
      <c r="A3" s="63"/>
      <c r="B3" s="63"/>
      <c r="C3" s="63"/>
      <c r="D3" s="63"/>
      <c r="E3" s="63"/>
      <c r="F3" s="63"/>
      <c r="G3" s="63"/>
      <c r="H3" s="63"/>
      <c r="I3" s="63"/>
      <c r="J3" s="63"/>
    </row>
    <row r="4" spans="1:44" ht="15" customHeight="1" x14ac:dyDescent="0.3">
      <c r="A4" s="63"/>
      <c r="B4" s="63"/>
      <c r="C4" s="63"/>
      <c r="D4" s="63"/>
      <c r="E4" s="63"/>
      <c r="F4" s="63"/>
      <c r="G4" s="63"/>
      <c r="H4" s="63"/>
      <c r="I4" s="63"/>
      <c r="J4" s="63"/>
    </row>
    <row r="5" spans="1:44" ht="15" customHeight="1" x14ac:dyDescent="0.3">
      <c r="A5" s="63"/>
      <c r="B5" s="63"/>
      <c r="C5" s="63"/>
      <c r="D5" s="63"/>
      <c r="E5" s="63"/>
      <c r="F5" s="63"/>
      <c r="G5" s="63"/>
      <c r="H5" s="63"/>
      <c r="I5" s="63"/>
      <c r="J5" s="63"/>
    </row>
    <row r="6" spans="1:44" ht="15" customHeight="1" x14ac:dyDescent="0.3">
      <c r="A6" s="63"/>
      <c r="B6" s="63"/>
      <c r="C6" s="63"/>
      <c r="D6" s="63"/>
      <c r="E6" s="63"/>
      <c r="F6" s="63"/>
      <c r="G6" s="63"/>
      <c r="H6" s="63"/>
      <c r="I6" s="63"/>
      <c r="J6" s="63"/>
    </row>
    <row r="7" spans="1:44" ht="15" customHeight="1" x14ac:dyDescent="0.3">
      <c r="A7" s="63"/>
      <c r="B7" s="63"/>
      <c r="C7" s="63"/>
      <c r="D7" s="63"/>
      <c r="E7" s="63"/>
      <c r="F7" s="63"/>
      <c r="G7" s="63"/>
      <c r="H7" s="63"/>
      <c r="I7" s="63"/>
      <c r="J7" s="63"/>
    </row>
    <row r="8" spans="1:44" ht="15" customHeight="1" x14ac:dyDescent="0.3">
      <c r="A8" s="63"/>
      <c r="B8" s="63"/>
      <c r="C8" s="63"/>
      <c r="D8" s="63"/>
      <c r="E8" s="63"/>
      <c r="F8" s="63"/>
      <c r="G8" s="63"/>
      <c r="H8" s="63"/>
      <c r="I8" s="63"/>
      <c r="J8" s="63"/>
    </row>
    <row r="9" spans="1:44" ht="15" customHeight="1" x14ac:dyDescent="0.3">
      <c r="A9" s="63"/>
      <c r="B9" s="63"/>
      <c r="C9" s="63"/>
      <c r="D9" s="63"/>
      <c r="E9" s="63"/>
      <c r="F9" s="63"/>
      <c r="G9" s="63"/>
      <c r="H9" s="63"/>
      <c r="I9" s="63"/>
      <c r="J9" s="63"/>
    </row>
    <row r="10" spans="1:44" ht="15" customHeight="1" x14ac:dyDescent="0.3">
      <c r="A10" s="63"/>
      <c r="B10" s="63"/>
      <c r="C10" s="63"/>
      <c r="D10" s="63"/>
      <c r="E10" s="63"/>
      <c r="F10" s="63"/>
      <c r="G10" s="63"/>
      <c r="H10" s="63"/>
      <c r="I10" s="63"/>
      <c r="J10" s="63"/>
      <c r="AI10"/>
      <c r="AJ10"/>
      <c r="AQ10" s="1"/>
      <c r="AR10" s="1"/>
    </row>
    <row r="11" spans="1:44" ht="15" customHeight="1" x14ac:dyDescent="0.3">
      <c r="A11" s="63"/>
      <c r="B11" s="63"/>
      <c r="C11" s="63"/>
      <c r="D11" s="63"/>
      <c r="E11" s="63"/>
      <c r="F11" s="63"/>
      <c r="G11" s="63"/>
      <c r="H11" s="63"/>
      <c r="I11" s="63"/>
      <c r="J11" s="63"/>
      <c r="AI11"/>
      <c r="AJ11"/>
      <c r="AQ11" s="1"/>
      <c r="AR11" s="1"/>
    </row>
    <row r="12" spans="1:44" ht="24.75" customHeight="1" x14ac:dyDescent="0.3">
      <c r="A12" s="63"/>
      <c r="B12" s="63"/>
      <c r="C12" s="63"/>
      <c r="D12" s="63"/>
      <c r="E12" s="63"/>
      <c r="F12" s="63"/>
      <c r="G12" s="63"/>
      <c r="H12" s="63"/>
      <c r="I12" s="63"/>
      <c r="J12" s="63"/>
      <c r="AI12"/>
      <c r="AJ12"/>
      <c r="AQ12" s="1"/>
      <c r="AR12" s="1"/>
    </row>
    <row r="13" spans="1:44" ht="15" customHeight="1" x14ac:dyDescent="0.3">
      <c r="A13" s="63"/>
      <c r="B13" s="63"/>
      <c r="C13" s="63"/>
      <c r="D13" s="63"/>
      <c r="E13" s="63"/>
      <c r="F13" s="63"/>
      <c r="G13" s="63"/>
      <c r="H13" s="63"/>
      <c r="I13" s="63"/>
      <c r="J13" s="63"/>
      <c r="AI13"/>
      <c r="AJ13"/>
      <c r="AQ13" s="1"/>
      <c r="AR13" s="1"/>
    </row>
    <row r="14" spans="1:44" ht="15" customHeight="1" x14ac:dyDescent="0.3">
      <c r="A14" s="63"/>
      <c r="B14" s="63"/>
      <c r="C14" s="63"/>
      <c r="D14" s="63"/>
      <c r="E14" s="63"/>
      <c r="F14" s="63"/>
      <c r="G14" s="63"/>
      <c r="H14" s="63"/>
      <c r="I14" s="63"/>
      <c r="J14" s="63"/>
      <c r="AI14"/>
      <c r="AJ14"/>
      <c r="AQ14" s="1"/>
      <c r="AR14" s="1"/>
    </row>
    <row r="15" spans="1:44" ht="15" customHeight="1" x14ac:dyDescent="0.3">
      <c r="A15" s="63"/>
      <c r="B15" s="63"/>
      <c r="C15" s="63"/>
      <c r="D15" s="63"/>
      <c r="E15" s="63"/>
      <c r="F15" s="63"/>
      <c r="G15" s="63"/>
      <c r="H15" s="63"/>
      <c r="I15" s="63"/>
      <c r="J15" s="63"/>
    </row>
    <row r="16" spans="1:44" ht="15" customHeight="1" x14ac:dyDescent="0.3">
      <c r="A16" s="63"/>
      <c r="B16" s="63"/>
      <c r="C16" s="63"/>
      <c r="D16" s="63"/>
      <c r="E16" s="63"/>
      <c r="F16" s="63"/>
      <c r="G16" s="63"/>
      <c r="H16" s="63"/>
      <c r="I16" s="63"/>
      <c r="J16" s="63"/>
    </row>
    <row r="17" spans="1:10" ht="15" customHeight="1" x14ac:dyDescent="0.3">
      <c r="A17" s="63"/>
      <c r="B17" s="63"/>
      <c r="C17" s="63"/>
      <c r="D17" s="63"/>
      <c r="E17" s="63"/>
      <c r="F17" s="63"/>
      <c r="G17" s="63"/>
      <c r="H17" s="63"/>
      <c r="I17" s="63"/>
      <c r="J17" s="63"/>
    </row>
    <row r="18" spans="1:10" ht="15" customHeight="1" x14ac:dyDescent="0.3">
      <c r="A18" s="63"/>
      <c r="B18" s="63"/>
      <c r="C18" s="63"/>
      <c r="D18" s="63"/>
      <c r="E18" s="63"/>
      <c r="F18" s="63"/>
      <c r="G18" s="63"/>
      <c r="H18" s="63"/>
      <c r="I18" s="63"/>
      <c r="J18" s="63"/>
    </row>
    <row r="19" spans="1:10" ht="15" customHeight="1" x14ac:dyDescent="0.3">
      <c r="A19" s="63"/>
      <c r="B19" s="63"/>
      <c r="C19" s="63"/>
      <c r="D19" s="63"/>
      <c r="E19" s="63"/>
      <c r="F19" s="63"/>
      <c r="G19" s="63"/>
      <c r="H19" s="63"/>
      <c r="I19" s="63"/>
      <c r="J19" s="63"/>
    </row>
    <row r="20" spans="1:10" ht="15" customHeight="1" x14ac:dyDescent="0.3">
      <c r="A20" s="63"/>
      <c r="B20" s="63"/>
      <c r="C20" s="63"/>
      <c r="D20" s="63"/>
      <c r="E20" s="63"/>
      <c r="F20" s="63"/>
      <c r="G20" s="63"/>
      <c r="H20" s="63"/>
      <c r="I20" s="63"/>
      <c r="J20" s="63"/>
    </row>
    <row r="21" spans="1:10" ht="15" customHeight="1" x14ac:dyDescent="0.3">
      <c r="A21" s="63"/>
      <c r="B21" s="63"/>
      <c r="C21" s="63"/>
      <c r="D21" s="63"/>
      <c r="E21" s="63"/>
      <c r="F21" s="63"/>
      <c r="G21" s="63"/>
      <c r="H21" s="63"/>
      <c r="I21" s="63"/>
      <c r="J21" s="63"/>
    </row>
    <row r="22" spans="1:10" ht="15" customHeight="1" x14ac:dyDescent="0.3">
      <c r="A22" s="63"/>
      <c r="B22" s="63"/>
      <c r="C22" s="63"/>
      <c r="D22" s="63"/>
      <c r="E22" s="63"/>
      <c r="F22" s="63"/>
      <c r="G22" s="63"/>
      <c r="H22" s="63"/>
      <c r="I22" s="63"/>
      <c r="J22" s="63"/>
    </row>
    <row r="23" spans="1:10" ht="15" customHeight="1" x14ac:dyDescent="0.3">
      <c r="A23" s="63"/>
      <c r="B23" s="63"/>
      <c r="C23" s="63"/>
      <c r="D23" s="63"/>
      <c r="E23" s="63"/>
      <c r="F23" s="63"/>
      <c r="G23" s="63"/>
      <c r="H23" s="63"/>
      <c r="I23" s="63"/>
      <c r="J23" s="63"/>
    </row>
    <row r="24" spans="1:10" ht="15" customHeight="1" x14ac:dyDescent="0.3">
      <c r="A24" s="63"/>
      <c r="B24" s="63"/>
      <c r="C24" s="63"/>
      <c r="D24" s="63"/>
      <c r="E24" s="63"/>
      <c r="F24" s="63"/>
      <c r="G24" s="63"/>
      <c r="H24" s="63"/>
      <c r="I24" s="63"/>
      <c r="J24" s="63"/>
    </row>
    <row r="25" spans="1:10" ht="15" customHeight="1" x14ac:dyDescent="0.3">
      <c r="A25" s="63"/>
      <c r="B25" s="63"/>
      <c r="C25" s="63"/>
      <c r="D25" s="63"/>
      <c r="E25" s="63"/>
      <c r="F25" s="63"/>
      <c r="G25" s="63"/>
      <c r="H25" s="63"/>
      <c r="I25" s="63"/>
      <c r="J25" s="63"/>
    </row>
    <row r="26" spans="1:10" ht="15" customHeight="1" x14ac:dyDescent="0.3">
      <c r="A26" s="63"/>
      <c r="B26" s="63"/>
      <c r="C26" s="63"/>
      <c r="D26" s="63"/>
      <c r="E26" s="63"/>
      <c r="F26" s="63"/>
      <c r="G26" s="63"/>
      <c r="H26" s="63"/>
      <c r="I26" s="63"/>
      <c r="J26" s="63"/>
    </row>
    <row r="27" spans="1:10" ht="15" customHeight="1" x14ac:dyDescent="0.3">
      <c r="A27" s="63"/>
      <c r="B27" s="63"/>
      <c r="C27" s="63"/>
      <c r="D27" s="63"/>
      <c r="E27" s="63"/>
      <c r="F27" s="63"/>
      <c r="G27" s="63"/>
      <c r="H27" s="63"/>
      <c r="I27" s="63"/>
      <c r="J27" s="63"/>
    </row>
    <row r="28" spans="1:10" ht="15" customHeight="1" x14ac:dyDescent="0.3">
      <c r="A28" s="63"/>
      <c r="B28" s="63"/>
      <c r="C28" s="63"/>
      <c r="D28" s="63"/>
      <c r="E28" s="63"/>
      <c r="F28" s="63"/>
      <c r="G28" s="63"/>
      <c r="H28" s="63"/>
      <c r="I28" s="63"/>
      <c r="J28" s="63"/>
    </row>
    <row r="29" spans="1:10" ht="15" customHeight="1" x14ac:dyDescent="0.3">
      <c r="A29" s="63"/>
      <c r="B29" s="63"/>
      <c r="C29" s="63"/>
      <c r="D29" s="63"/>
      <c r="E29" s="63"/>
      <c r="F29" s="63"/>
      <c r="G29" s="63"/>
      <c r="H29" s="63"/>
      <c r="I29" s="63"/>
      <c r="J29" s="63"/>
    </row>
    <row r="30" spans="1:10" ht="15" customHeight="1" x14ac:dyDescent="0.3">
      <c r="A30" s="63"/>
      <c r="B30" s="63"/>
      <c r="C30" s="63"/>
      <c r="D30" s="63"/>
      <c r="E30" s="63"/>
      <c r="F30" s="63"/>
      <c r="G30" s="63"/>
      <c r="H30" s="63"/>
      <c r="I30" s="63"/>
      <c r="J30" s="63"/>
    </row>
    <row r="31" spans="1:10" ht="15" customHeight="1" x14ac:dyDescent="0.3">
      <c r="A31" s="63"/>
      <c r="B31" s="63"/>
      <c r="C31" s="63"/>
      <c r="D31" s="63"/>
      <c r="E31" s="63"/>
      <c r="F31" s="63"/>
      <c r="G31" s="63"/>
      <c r="H31" s="63"/>
      <c r="I31" s="63"/>
      <c r="J31" s="63"/>
    </row>
    <row r="32" spans="1:10" ht="15" customHeight="1" x14ac:dyDescent="0.3">
      <c r="A32" s="63"/>
      <c r="B32" s="63"/>
      <c r="C32" s="63"/>
      <c r="D32" s="63"/>
      <c r="E32" s="63"/>
      <c r="F32" s="63"/>
      <c r="G32" s="63"/>
      <c r="H32" s="63"/>
      <c r="I32" s="63"/>
      <c r="J32" s="63"/>
    </row>
    <row r="33" spans="1:10" ht="15" customHeight="1" x14ac:dyDescent="0.3">
      <c r="A33" s="63"/>
      <c r="B33" s="63"/>
      <c r="C33" s="63"/>
      <c r="D33" s="63"/>
      <c r="E33" s="63"/>
      <c r="F33" s="63"/>
      <c r="G33" s="63"/>
      <c r="H33" s="63"/>
      <c r="I33" s="63"/>
      <c r="J33" s="63"/>
    </row>
    <row r="34" spans="1:10" ht="15" customHeight="1" x14ac:dyDescent="0.3">
      <c r="A34" s="63"/>
      <c r="B34" s="63"/>
      <c r="C34" s="63"/>
      <c r="D34" s="63"/>
      <c r="E34" s="63"/>
      <c r="F34" s="63"/>
      <c r="G34" s="63"/>
      <c r="H34" s="63"/>
      <c r="I34" s="63"/>
      <c r="J34" s="63"/>
    </row>
    <row r="35" spans="1:10" ht="15" customHeight="1" x14ac:dyDescent="0.3">
      <c r="A35" s="63"/>
      <c r="B35" s="63"/>
      <c r="C35" s="63"/>
      <c r="D35" s="63"/>
      <c r="E35" s="63"/>
      <c r="F35" s="63"/>
      <c r="G35" s="63"/>
      <c r="H35" s="63"/>
      <c r="I35" s="63"/>
      <c r="J35" s="63"/>
    </row>
    <row r="36" spans="1:10" ht="15" customHeight="1" x14ac:dyDescent="0.3">
      <c r="A36" s="63"/>
      <c r="B36" s="63"/>
      <c r="C36" s="63"/>
      <c r="D36" s="63"/>
      <c r="E36" s="63"/>
      <c r="F36" s="63"/>
      <c r="G36" s="63"/>
      <c r="H36" s="63"/>
      <c r="I36" s="63"/>
      <c r="J36" s="63"/>
    </row>
    <row r="37" spans="1:10" ht="15" customHeight="1" x14ac:dyDescent="0.3">
      <c r="A37" s="63"/>
      <c r="B37" s="63"/>
      <c r="C37" s="63"/>
      <c r="D37" s="63"/>
      <c r="E37" s="63"/>
      <c r="F37" s="63"/>
      <c r="G37" s="63"/>
      <c r="H37" s="63"/>
      <c r="I37" s="63"/>
      <c r="J37" s="63"/>
    </row>
    <row r="38" spans="1:10" ht="15" customHeight="1" x14ac:dyDescent="0.3">
      <c r="A38" s="63"/>
      <c r="B38" s="63"/>
      <c r="C38" s="63"/>
      <c r="D38" s="63"/>
      <c r="E38" s="63"/>
      <c r="F38" s="63"/>
      <c r="G38" s="63"/>
      <c r="H38" s="63"/>
      <c r="I38" s="63"/>
      <c r="J38" s="63"/>
    </row>
    <row r="39" spans="1:10" ht="15" customHeight="1" x14ac:dyDescent="0.3">
      <c r="A39" s="63"/>
      <c r="B39" s="63"/>
      <c r="C39" s="63"/>
      <c r="D39" s="63"/>
      <c r="E39" s="63"/>
      <c r="F39" s="63"/>
      <c r="G39" s="63"/>
      <c r="H39" s="63"/>
      <c r="I39" s="63"/>
      <c r="J39" s="63"/>
    </row>
    <row r="40" spans="1:10" ht="15" customHeight="1" x14ac:dyDescent="0.3">
      <c r="A40" s="63"/>
      <c r="B40" s="63"/>
      <c r="C40" s="63"/>
      <c r="D40" s="63"/>
      <c r="E40" s="63"/>
      <c r="F40" s="63"/>
      <c r="G40" s="63"/>
      <c r="H40" s="63"/>
      <c r="I40" s="63"/>
      <c r="J40" s="63"/>
    </row>
    <row r="41" spans="1:10" ht="15" customHeight="1" x14ac:dyDescent="0.3">
      <c r="A41" s="63"/>
      <c r="B41" s="63"/>
      <c r="C41" s="63"/>
      <c r="D41" s="63"/>
      <c r="E41" s="63"/>
      <c r="F41" s="63"/>
      <c r="G41" s="63"/>
      <c r="H41" s="63"/>
      <c r="I41" s="63"/>
      <c r="J41" s="63"/>
    </row>
    <row r="42" spans="1:10" ht="15" customHeight="1" x14ac:dyDescent="0.3">
      <c r="A42" s="63"/>
      <c r="B42" s="63"/>
      <c r="C42" s="63"/>
      <c r="D42" s="63"/>
      <c r="E42" s="63"/>
      <c r="F42" s="63"/>
      <c r="G42" s="63"/>
      <c r="H42" s="63"/>
      <c r="I42" s="63"/>
      <c r="J42" s="63"/>
    </row>
    <row r="43" spans="1:10" ht="15" customHeight="1" x14ac:dyDescent="0.3">
      <c r="A43" s="63"/>
      <c r="B43" s="63"/>
      <c r="C43" s="63"/>
      <c r="D43" s="63"/>
      <c r="E43" s="63"/>
      <c r="F43" s="63"/>
      <c r="G43" s="63"/>
      <c r="H43" s="63"/>
      <c r="I43" s="63"/>
      <c r="J43" s="63"/>
    </row>
    <row r="44" spans="1:10" ht="15" customHeight="1" x14ac:dyDescent="0.3">
      <c r="A44" s="63"/>
      <c r="B44" s="63"/>
      <c r="C44" s="63"/>
      <c r="D44" s="63"/>
      <c r="E44" s="63"/>
      <c r="F44" s="63"/>
      <c r="G44" s="63"/>
      <c r="H44" s="63"/>
      <c r="I44" s="63"/>
      <c r="J44" s="63"/>
    </row>
    <row r="45" spans="1:10" ht="15" customHeight="1" x14ac:dyDescent="0.3">
      <c r="A45" s="63"/>
      <c r="B45" s="63"/>
      <c r="C45" s="63"/>
      <c r="D45" s="63"/>
      <c r="E45" s="63"/>
      <c r="F45" s="63"/>
      <c r="G45" s="63"/>
      <c r="H45" s="63"/>
      <c r="I45" s="63"/>
      <c r="J45" s="63"/>
    </row>
    <row r="46" spans="1:10" ht="15" customHeight="1" x14ac:dyDescent="0.3">
      <c r="A46" s="63"/>
      <c r="B46" s="63"/>
      <c r="C46" s="63"/>
      <c r="D46" s="63"/>
      <c r="E46" s="63"/>
      <c r="F46" s="63"/>
      <c r="G46" s="63"/>
      <c r="H46" s="63"/>
      <c r="I46" s="63"/>
      <c r="J46" s="63"/>
    </row>
    <row r="47" spans="1:10" ht="15" customHeight="1" x14ac:dyDescent="0.3">
      <c r="A47" s="63"/>
      <c r="B47" s="63"/>
      <c r="C47" s="63"/>
      <c r="D47" s="63"/>
      <c r="E47" s="63"/>
      <c r="F47" s="63"/>
      <c r="G47" s="63"/>
      <c r="H47" s="63"/>
      <c r="I47" s="63"/>
      <c r="J47" s="63"/>
    </row>
    <row r="48" spans="1:10" ht="15" customHeight="1" x14ac:dyDescent="0.3">
      <c r="A48" s="63"/>
      <c r="B48" s="63"/>
      <c r="C48" s="63"/>
      <c r="D48" s="63"/>
      <c r="E48" s="63"/>
      <c r="F48" s="63"/>
      <c r="G48" s="63"/>
      <c r="H48" s="63"/>
      <c r="I48" s="63"/>
      <c r="J48" s="63"/>
    </row>
    <row r="49" spans="1:10" ht="15" customHeight="1" x14ac:dyDescent="0.3">
      <c r="A49" s="27"/>
      <c r="B49" s="27"/>
      <c r="C49" s="27"/>
      <c r="D49" s="27"/>
      <c r="E49" s="27"/>
      <c r="F49" s="27"/>
      <c r="G49" s="27"/>
      <c r="H49" s="27"/>
      <c r="I49" s="27"/>
    </row>
    <row r="50" spans="1:10" ht="15" customHeight="1" x14ac:dyDescent="0.3">
      <c r="A50" s="27"/>
      <c r="B50" s="27"/>
      <c r="C50" s="27"/>
      <c r="D50" s="27"/>
      <c r="E50" s="27"/>
      <c r="F50" s="27"/>
      <c r="G50" s="27"/>
      <c r="H50" s="27"/>
      <c r="I50" s="27"/>
    </row>
    <row r="51" spans="1:10" ht="16.2" x14ac:dyDescent="0.35">
      <c r="A51" s="2" t="s">
        <v>123</v>
      </c>
    </row>
    <row r="52" spans="1:10" ht="15" customHeight="1" x14ac:dyDescent="0.3">
      <c r="A52" s="61" t="s">
        <v>179</v>
      </c>
      <c r="B52" s="61"/>
      <c r="C52" s="61"/>
      <c r="D52" s="61"/>
      <c r="E52" s="61"/>
      <c r="F52" s="61"/>
      <c r="G52" s="61"/>
      <c r="H52" s="61"/>
      <c r="I52" s="61"/>
      <c r="J52" s="61"/>
    </row>
    <row r="53" spans="1:10" ht="15" customHeight="1" x14ac:dyDescent="0.3">
      <c r="A53" s="61"/>
      <c r="B53" s="61"/>
      <c r="C53" s="61"/>
      <c r="D53" s="61"/>
      <c r="E53" s="61"/>
      <c r="F53" s="61"/>
      <c r="G53" s="61"/>
      <c r="H53" s="61"/>
      <c r="I53" s="61"/>
      <c r="J53" s="61"/>
    </row>
    <row r="70" spans="1:10" x14ac:dyDescent="0.3">
      <c r="A70" s="3" t="s">
        <v>0</v>
      </c>
      <c r="B70" s="3">
        <v>2010</v>
      </c>
      <c r="C70" s="3">
        <f>B70+1</f>
        <v>2011</v>
      </c>
      <c r="D70" s="3">
        <f t="shared" ref="D70:J70" si="0">C70+1</f>
        <v>2012</v>
      </c>
      <c r="E70" s="3">
        <f t="shared" si="0"/>
        <v>2013</v>
      </c>
      <c r="F70" s="3">
        <f t="shared" si="0"/>
        <v>2014</v>
      </c>
      <c r="G70" s="3">
        <f t="shared" si="0"/>
        <v>2015</v>
      </c>
      <c r="H70" s="3">
        <f t="shared" si="0"/>
        <v>2016</v>
      </c>
      <c r="I70" s="3">
        <f t="shared" si="0"/>
        <v>2017</v>
      </c>
      <c r="J70" s="3">
        <f t="shared" si="0"/>
        <v>2018</v>
      </c>
    </row>
    <row r="71" spans="1:10" x14ac:dyDescent="0.3">
      <c r="A71" s="9" t="s">
        <v>2</v>
      </c>
      <c r="B71" s="3">
        <f>SUM(Calculate!C4:C5)</f>
        <v>33</v>
      </c>
      <c r="C71" s="3">
        <f>SUM(Calculate!D4:D5)</f>
        <v>33</v>
      </c>
      <c r="D71" s="3">
        <f>SUM(Calculate!E4:E5)</f>
        <v>36</v>
      </c>
      <c r="E71" s="3">
        <f>SUM(Calculate!F4:F5)</f>
        <v>52</v>
      </c>
      <c r="F71" s="3">
        <f>SUM(Calculate!G4:G5)</f>
        <v>48</v>
      </c>
      <c r="G71" s="3">
        <f>SUM(Calculate!H4:H5)</f>
        <v>35</v>
      </c>
      <c r="H71" s="3">
        <f>SUM(Calculate!I4:I5)</f>
        <v>37</v>
      </c>
      <c r="I71" s="3">
        <f>SUM(Calculate!J4:J5)</f>
        <v>20</v>
      </c>
      <c r="J71" s="3">
        <f>SUM(Calculate!K4:K5)</f>
        <v>11</v>
      </c>
    </row>
    <row r="72" spans="1:10" x14ac:dyDescent="0.3">
      <c r="A72" s="1" t="s">
        <v>73</v>
      </c>
      <c r="B72" s="71" t="s">
        <v>74</v>
      </c>
      <c r="C72" s="71"/>
      <c r="D72" s="1">
        <f>Calculate!S5</f>
        <v>27</v>
      </c>
      <c r="E72" s="1" t="s">
        <v>44</v>
      </c>
      <c r="F72" s="71" t="s">
        <v>75</v>
      </c>
      <c r="G72" s="71"/>
      <c r="H72" s="1">
        <f>Calculate!S4</f>
        <v>278</v>
      </c>
      <c r="I72" s="1" t="s">
        <v>44</v>
      </c>
    </row>
    <row r="73" spans="1:10" x14ac:dyDescent="0.3">
      <c r="B73" s="29"/>
      <c r="C73" s="29"/>
      <c r="D73" s="44">
        <f>D72/(D72+H72)</f>
        <v>8.8524590163934422E-2</v>
      </c>
      <c r="H73" s="45">
        <f>H72/(D72+H72)</f>
        <v>0.91147540983606556</v>
      </c>
    </row>
    <row r="74" spans="1:10" ht="15.75" customHeight="1" x14ac:dyDescent="0.3">
      <c r="A74" s="64" t="s">
        <v>108</v>
      </c>
      <c r="B74" s="64"/>
      <c r="C74" s="64"/>
      <c r="D74" s="64"/>
      <c r="E74" s="64"/>
      <c r="F74" s="64"/>
      <c r="G74" s="64"/>
      <c r="H74" s="64"/>
      <c r="I74" s="64"/>
      <c r="J74" s="64"/>
    </row>
    <row r="76" spans="1:10" ht="15" customHeight="1" x14ac:dyDescent="0.3">
      <c r="A76" s="61" t="s">
        <v>92</v>
      </c>
      <c r="B76" s="61"/>
      <c r="C76" s="61"/>
      <c r="D76" s="61"/>
      <c r="E76" s="61"/>
      <c r="F76" s="61"/>
      <c r="G76" s="61"/>
      <c r="H76" s="61"/>
      <c r="I76" s="61"/>
      <c r="J76" s="61"/>
    </row>
    <row r="77" spans="1:10" ht="15" customHeight="1" x14ac:dyDescent="0.3">
      <c r="A77" s="61"/>
      <c r="B77" s="61"/>
      <c r="C77" s="61"/>
      <c r="D77" s="61"/>
      <c r="E77" s="61"/>
      <c r="F77" s="61"/>
      <c r="G77" s="61"/>
      <c r="H77" s="61"/>
      <c r="I77" s="61"/>
      <c r="J77" s="61"/>
    </row>
    <row r="94" spans="1:10" x14ac:dyDescent="0.3">
      <c r="A94" s="3" t="s">
        <v>0</v>
      </c>
      <c r="B94" s="3">
        <v>2010</v>
      </c>
      <c r="C94" s="3">
        <f>B94+1</f>
        <v>2011</v>
      </c>
      <c r="D94" s="3">
        <f t="shared" ref="D94:J94" si="1">C94+1</f>
        <v>2012</v>
      </c>
      <c r="E94" s="3">
        <f t="shared" si="1"/>
        <v>2013</v>
      </c>
      <c r="F94" s="3">
        <f t="shared" si="1"/>
        <v>2014</v>
      </c>
      <c r="G94" s="3">
        <f t="shared" si="1"/>
        <v>2015</v>
      </c>
      <c r="H94" s="3">
        <f t="shared" si="1"/>
        <v>2016</v>
      </c>
      <c r="I94" s="3">
        <f t="shared" si="1"/>
        <v>2017</v>
      </c>
      <c r="J94" s="3">
        <f t="shared" si="1"/>
        <v>2018</v>
      </c>
    </row>
    <row r="95" spans="1:10" x14ac:dyDescent="0.3">
      <c r="A95" s="69" t="s">
        <v>3</v>
      </c>
      <c r="B95" s="3">
        <f>Calculate!AL3</f>
        <v>14</v>
      </c>
      <c r="C95" s="3">
        <f>Calculate!AL4</f>
        <v>19</v>
      </c>
      <c r="D95" s="3">
        <f>Calculate!AL5</f>
        <v>27</v>
      </c>
      <c r="E95" s="3">
        <f>Calculate!AL6</f>
        <v>43</v>
      </c>
      <c r="F95" s="3">
        <f>Calculate!AL7</f>
        <v>47</v>
      </c>
      <c r="G95" s="3">
        <f>Calculate!AL8</f>
        <v>31</v>
      </c>
      <c r="H95" s="3">
        <f>Calculate!AL9</f>
        <v>23</v>
      </c>
      <c r="I95" s="3">
        <f>Calculate!AL10</f>
        <v>14</v>
      </c>
      <c r="J95" s="3">
        <f>Calculate!AM11</f>
        <v>3</v>
      </c>
    </row>
    <row r="96" spans="1:10" x14ac:dyDescent="0.3">
      <c r="A96" s="70"/>
      <c r="B96" s="50">
        <f t="shared" ref="B96:I96" si="2">IFERROR(B95/(B95+B97),0)</f>
        <v>0.42424242424242425</v>
      </c>
      <c r="C96" s="50">
        <f t="shared" si="2"/>
        <v>0.5757575757575758</v>
      </c>
      <c r="D96" s="50">
        <f t="shared" si="2"/>
        <v>0.75</v>
      </c>
      <c r="E96" s="50">
        <f t="shared" si="2"/>
        <v>0.82692307692307687</v>
      </c>
      <c r="F96" s="50">
        <f t="shared" si="2"/>
        <v>0.97916666666666663</v>
      </c>
      <c r="G96" s="50">
        <f t="shared" si="2"/>
        <v>0.88571428571428568</v>
      </c>
      <c r="H96" s="50">
        <f t="shared" si="2"/>
        <v>0.6216216216216216</v>
      </c>
      <c r="I96" s="50">
        <f t="shared" si="2"/>
        <v>0.7</v>
      </c>
      <c r="J96" s="50">
        <f>IFERROR(J95/(J95+J97),0)</f>
        <v>1</v>
      </c>
    </row>
    <row r="97" spans="1:10" x14ac:dyDescent="0.3">
      <c r="A97" s="69" t="s">
        <v>4</v>
      </c>
      <c r="B97" s="3">
        <f>Calculate!AM3</f>
        <v>19</v>
      </c>
      <c r="C97" s="3">
        <f>Calculate!AM4</f>
        <v>14</v>
      </c>
      <c r="D97" s="3">
        <f>Calculate!AM5</f>
        <v>9</v>
      </c>
      <c r="E97" s="3">
        <f>Calculate!AM6</f>
        <v>9</v>
      </c>
      <c r="F97" s="3">
        <f>Calculate!AM7</f>
        <v>1</v>
      </c>
      <c r="G97" s="3">
        <f>Calculate!AM8</f>
        <v>4</v>
      </c>
      <c r="H97" s="3">
        <f>Calculate!AM9</f>
        <v>14</v>
      </c>
      <c r="I97" s="3">
        <f>Calculate!AM10</f>
        <v>6</v>
      </c>
      <c r="J97" s="3">
        <f>Calculate!AN11</f>
        <v>0</v>
      </c>
    </row>
    <row r="98" spans="1:10" x14ac:dyDescent="0.3">
      <c r="A98" s="70"/>
      <c r="B98" s="50">
        <f t="shared" ref="B98:I98" si="3">IFERROR(B97/(B95+B97),0)</f>
        <v>0.5757575757575758</v>
      </c>
      <c r="C98" s="50">
        <f t="shared" si="3"/>
        <v>0.42424242424242425</v>
      </c>
      <c r="D98" s="50">
        <f t="shared" si="3"/>
        <v>0.25</v>
      </c>
      <c r="E98" s="50">
        <f t="shared" si="3"/>
        <v>0.17307692307692307</v>
      </c>
      <c r="F98" s="50">
        <f t="shared" si="3"/>
        <v>2.0833333333333332E-2</v>
      </c>
      <c r="G98" s="50">
        <f t="shared" si="3"/>
        <v>0.11428571428571428</v>
      </c>
      <c r="H98" s="50">
        <f t="shared" si="3"/>
        <v>0.3783783783783784</v>
      </c>
      <c r="I98" s="50">
        <f t="shared" si="3"/>
        <v>0.3</v>
      </c>
      <c r="J98" s="50">
        <f>IFERROR(J97/(J95+J97),0)</f>
        <v>0</v>
      </c>
    </row>
    <row r="99" spans="1:10" ht="15" customHeight="1" x14ac:dyDescent="0.3">
      <c r="A99" s="1" t="s">
        <v>5</v>
      </c>
    </row>
    <row r="100" spans="1:10" ht="15.75" customHeight="1" x14ac:dyDescent="0.3">
      <c r="A100" s="64" t="s">
        <v>125</v>
      </c>
      <c r="B100" s="64"/>
      <c r="C100" s="64"/>
      <c r="D100" s="64"/>
      <c r="E100" s="64"/>
      <c r="F100" s="64"/>
      <c r="G100" s="64"/>
      <c r="H100" s="64"/>
      <c r="I100" s="64"/>
      <c r="J100" s="64"/>
    </row>
    <row r="101" spans="1:10" ht="15.75" customHeight="1" x14ac:dyDescent="0.3">
      <c r="A101" s="66" t="s">
        <v>236</v>
      </c>
      <c r="B101" s="66"/>
      <c r="C101" s="66"/>
      <c r="D101" s="66"/>
      <c r="E101" s="66"/>
      <c r="F101" s="66"/>
      <c r="G101" s="66"/>
      <c r="H101" s="66"/>
      <c r="I101" s="66"/>
      <c r="J101" s="66"/>
    </row>
    <row r="102" spans="1:10" ht="15.75" customHeight="1" x14ac:dyDescent="0.3">
      <c r="A102" s="66"/>
      <c r="B102" s="66"/>
      <c r="C102" s="66"/>
      <c r="D102" s="66"/>
      <c r="E102" s="66"/>
      <c r="F102" s="66"/>
      <c r="G102" s="66"/>
      <c r="H102" s="66"/>
      <c r="I102" s="66"/>
      <c r="J102" s="66"/>
    </row>
    <row r="103" spans="1:10" ht="15" customHeight="1" x14ac:dyDescent="0.3">
      <c r="A103" s="61" t="s">
        <v>97</v>
      </c>
      <c r="B103" s="61"/>
      <c r="C103" s="61"/>
      <c r="D103" s="61"/>
      <c r="E103" s="61"/>
      <c r="F103" s="61"/>
      <c r="G103" s="61"/>
      <c r="H103" s="61"/>
      <c r="I103" s="61"/>
      <c r="J103" s="61"/>
    </row>
    <row r="104" spans="1:10" ht="15" customHeight="1" x14ac:dyDescent="0.3">
      <c r="A104" s="61"/>
      <c r="B104" s="61"/>
      <c r="C104" s="61"/>
      <c r="D104" s="61"/>
      <c r="E104" s="61"/>
      <c r="F104" s="61"/>
      <c r="G104" s="61"/>
      <c r="H104" s="61"/>
      <c r="I104" s="61"/>
      <c r="J104" s="61"/>
    </row>
    <row r="105" spans="1:10" ht="15.75" customHeight="1" x14ac:dyDescent="0.3">
      <c r="A105" s="61"/>
      <c r="B105" s="61"/>
      <c r="C105" s="61"/>
      <c r="D105" s="61"/>
      <c r="E105" s="61"/>
      <c r="F105" s="61"/>
      <c r="G105" s="61"/>
      <c r="H105" s="61"/>
      <c r="I105" s="61"/>
      <c r="J105" s="61"/>
    </row>
    <row r="123" spans="1:10" ht="15.75" customHeight="1" x14ac:dyDescent="0.3">
      <c r="A123" s="64" t="s">
        <v>237</v>
      </c>
      <c r="B123" s="64"/>
      <c r="C123" s="64"/>
      <c r="D123" s="64"/>
      <c r="E123" s="64"/>
      <c r="F123" s="64"/>
      <c r="G123" s="64"/>
      <c r="H123" s="64"/>
      <c r="I123" s="64"/>
    </row>
    <row r="124" spans="1:10" x14ac:dyDescent="0.3">
      <c r="A124" s="64"/>
      <c r="B124" s="64"/>
      <c r="C124" s="64"/>
      <c r="D124" s="64"/>
      <c r="E124" s="64"/>
      <c r="F124" s="64"/>
      <c r="G124" s="64"/>
      <c r="H124" s="64"/>
      <c r="I124" s="64"/>
    </row>
    <row r="126" spans="1:10" ht="15" customHeight="1" x14ac:dyDescent="0.3">
      <c r="A126" s="61" t="s">
        <v>103</v>
      </c>
      <c r="B126" s="61"/>
      <c r="C126" s="61"/>
      <c r="D126" s="61"/>
      <c r="E126" s="61"/>
      <c r="F126" s="61"/>
      <c r="G126" s="61"/>
      <c r="H126" s="61"/>
      <c r="I126" s="61"/>
      <c r="J126" s="61"/>
    </row>
    <row r="127" spans="1:10" ht="15" customHeight="1" x14ac:dyDescent="0.3">
      <c r="A127" s="61"/>
      <c r="B127" s="61"/>
      <c r="C127" s="61"/>
      <c r="D127" s="61"/>
      <c r="E127" s="61"/>
      <c r="F127" s="61"/>
      <c r="G127" s="61"/>
      <c r="H127" s="61"/>
      <c r="I127" s="61"/>
      <c r="J127" s="61"/>
    </row>
    <row r="128" spans="1:10" ht="15" customHeight="1" x14ac:dyDescent="0.3">
      <c r="A128" s="61"/>
      <c r="B128" s="61"/>
      <c r="C128" s="61"/>
      <c r="D128" s="61"/>
      <c r="E128" s="61"/>
      <c r="F128" s="61"/>
      <c r="G128" s="61"/>
      <c r="H128" s="61"/>
      <c r="I128" s="61"/>
      <c r="J128" s="61"/>
    </row>
    <row r="129" spans="1:10" ht="15" customHeight="1" x14ac:dyDescent="0.3">
      <c r="A129" s="61"/>
      <c r="B129" s="61"/>
      <c r="C129" s="61"/>
      <c r="D129" s="61"/>
      <c r="E129" s="61"/>
      <c r="F129" s="61"/>
      <c r="G129" s="61"/>
      <c r="H129" s="61"/>
      <c r="I129" s="61"/>
      <c r="J129" s="61"/>
    </row>
    <row r="130" spans="1:10" ht="15" customHeight="1" x14ac:dyDescent="0.3">
      <c r="A130" s="6"/>
      <c r="B130" s="6"/>
      <c r="C130" s="6"/>
      <c r="D130" s="6"/>
      <c r="E130" s="6"/>
      <c r="F130" s="6"/>
      <c r="G130" s="6"/>
      <c r="H130" s="6"/>
      <c r="I130" s="6"/>
    </row>
    <row r="147" spans="1:10" ht="15.75" customHeight="1" x14ac:dyDescent="0.3">
      <c r="A147" s="64" t="s">
        <v>238</v>
      </c>
      <c r="B147" s="64"/>
      <c r="C147" s="64"/>
      <c r="D147" s="64"/>
      <c r="E147" s="64"/>
      <c r="F147" s="64"/>
      <c r="G147" s="64"/>
      <c r="H147" s="64"/>
      <c r="I147" s="64"/>
      <c r="J147" s="64"/>
    </row>
    <row r="148" spans="1:10" ht="15" customHeight="1" x14ac:dyDescent="0.3">
      <c r="A148" s="64"/>
      <c r="B148" s="64"/>
      <c r="C148" s="64"/>
      <c r="D148" s="64"/>
      <c r="E148" s="64"/>
      <c r="F148" s="64"/>
      <c r="G148" s="64"/>
      <c r="H148" s="64"/>
      <c r="I148" s="64"/>
      <c r="J148" s="64"/>
    </row>
    <row r="149" spans="1:10" ht="15.6" x14ac:dyDescent="0.3">
      <c r="A149" s="7"/>
      <c r="B149" s="7"/>
      <c r="C149" s="7"/>
      <c r="D149" s="7"/>
      <c r="E149" s="7"/>
      <c r="F149" s="7"/>
      <c r="G149" s="7"/>
      <c r="H149" s="7"/>
      <c r="I149" s="7"/>
    </row>
    <row r="151" spans="1:10" ht="15.6" x14ac:dyDescent="0.3">
      <c r="A151" s="2" t="s">
        <v>52</v>
      </c>
    </row>
    <row r="152" spans="1:10" ht="15" customHeight="1" x14ac:dyDescent="0.3">
      <c r="A152" s="61" t="s">
        <v>180</v>
      </c>
      <c r="B152" s="61"/>
      <c r="C152" s="61"/>
      <c r="D152" s="61"/>
      <c r="E152" s="61"/>
      <c r="F152" s="61"/>
      <c r="G152" s="61"/>
      <c r="H152" s="61"/>
      <c r="I152" s="61"/>
      <c r="J152" s="61"/>
    </row>
    <row r="153" spans="1:10" ht="15" customHeight="1" x14ac:dyDescent="0.3">
      <c r="A153" s="61"/>
      <c r="B153" s="61"/>
      <c r="C153" s="61"/>
      <c r="D153" s="61"/>
      <c r="E153" s="61"/>
      <c r="F153" s="61"/>
      <c r="G153" s="61"/>
      <c r="H153" s="61"/>
      <c r="I153" s="61"/>
      <c r="J153" s="61"/>
    </row>
    <row r="169" spans="1:10" x14ac:dyDescent="0.3">
      <c r="A169" s="3" t="s">
        <v>0</v>
      </c>
      <c r="B169" s="3">
        <v>2010</v>
      </c>
      <c r="C169" s="3">
        <f>B169+1</f>
        <v>2011</v>
      </c>
      <c r="D169" s="3">
        <f t="shared" ref="D169:J169" si="4">C169+1</f>
        <v>2012</v>
      </c>
      <c r="E169" s="3">
        <f t="shared" si="4"/>
        <v>2013</v>
      </c>
      <c r="F169" s="3">
        <f t="shared" si="4"/>
        <v>2014</v>
      </c>
      <c r="G169" s="3">
        <f t="shared" si="4"/>
        <v>2015</v>
      </c>
      <c r="H169" s="3">
        <f t="shared" si="4"/>
        <v>2016</v>
      </c>
      <c r="I169" s="3">
        <f t="shared" si="4"/>
        <v>2017</v>
      </c>
      <c r="J169" s="3">
        <f t="shared" si="4"/>
        <v>2018</v>
      </c>
    </row>
    <row r="170" spans="1:10" x14ac:dyDescent="0.3">
      <c r="A170" s="8" t="s">
        <v>49</v>
      </c>
      <c r="B170" s="3">
        <f>Calculate!C68</f>
        <v>0</v>
      </c>
      <c r="C170" s="3">
        <f>Calculate!D68</f>
        <v>5</v>
      </c>
      <c r="D170" s="3">
        <f>Calculate!E68</f>
        <v>5</v>
      </c>
      <c r="E170" s="3">
        <f>Calculate!F68</f>
        <v>1</v>
      </c>
      <c r="F170" s="3">
        <f>Calculate!G68</f>
        <v>0</v>
      </c>
      <c r="G170" s="3">
        <f>Calculate!H68</f>
        <v>0</v>
      </c>
      <c r="H170" s="3">
        <f>Calculate!I68</f>
        <v>5</v>
      </c>
      <c r="I170" s="3">
        <f>Calculate!J68</f>
        <v>2</v>
      </c>
      <c r="J170" s="3">
        <f>Calculate!K68</f>
        <v>10</v>
      </c>
    </row>
    <row r="171" spans="1:10" x14ac:dyDescent="0.3">
      <c r="A171" s="1" t="s">
        <v>1</v>
      </c>
      <c r="B171" s="71" t="s">
        <v>76</v>
      </c>
      <c r="C171" s="71"/>
      <c r="D171" s="1">
        <f>SUM(Calculate!C68:R68)</f>
        <v>28</v>
      </c>
      <c r="E171" s="1" t="s">
        <v>44</v>
      </c>
    </row>
    <row r="172" spans="1:10" ht="15.75" customHeight="1" x14ac:dyDescent="0.3">
      <c r="A172" s="64" t="s">
        <v>109</v>
      </c>
      <c r="B172" s="64"/>
      <c r="C172" s="64"/>
      <c r="D172" s="64"/>
      <c r="E172" s="64"/>
      <c r="F172" s="64"/>
      <c r="G172" s="64"/>
      <c r="H172" s="64"/>
      <c r="I172" s="64"/>
      <c r="J172" s="64"/>
    </row>
    <row r="173" spans="1:10" ht="15.6" x14ac:dyDescent="0.3">
      <c r="A173" s="7"/>
      <c r="B173" s="7"/>
      <c r="C173" s="7"/>
      <c r="D173" s="7"/>
      <c r="E173" s="7"/>
      <c r="F173" s="7"/>
      <c r="G173" s="7"/>
      <c r="H173" s="7"/>
      <c r="I173" s="7"/>
    </row>
    <row r="174" spans="1:10" ht="15" customHeight="1" x14ac:dyDescent="0.3">
      <c r="A174" s="61" t="s">
        <v>181</v>
      </c>
      <c r="B174" s="61"/>
      <c r="C174" s="61"/>
      <c r="D174" s="61"/>
      <c r="E174" s="61"/>
      <c r="F174" s="61"/>
      <c r="G174" s="61"/>
      <c r="H174" s="61"/>
      <c r="I174" s="61"/>
      <c r="J174" s="61"/>
    </row>
    <row r="175" spans="1:10" ht="15" customHeight="1" x14ac:dyDescent="0.3">
      <c r="A175" s="61"/>
      <c r="B175" s="61"/>
      <c r="C175" s="61"/>
      <c r="D175" s="61"/>
      <c r="E175" s="61"/>
      <c r="F175" s="61"/>
      <c r="G175" s="61"/>
      <c r="H175" s="61"/>
      <c r="I175" s="61"/>
      <c r="J175" s="61"/>
    </row>
    <row r="176" spans="1:10" ht="15" customHeight="1" x14ac:dyDescent="0.3">
      <c r="A176" s="61"/>
      <c r="B176" s="61"/>
      <c r="C176" s="61"/>
      <c r="D176" s="61"/>
      <c r="E176" s="61"/>
      <c r="F176" s="61"/>
      <c r="G176" s="61"/>
      <c r="H176" s="61"/>
      <c r="I176" s="61"/>
      <c r="J176" s="61"/>
    </row>
    <row r="177" spans="1:10" ht="15" customHeight="1" x14ac:dyDescent="0.3">
      <c r="A177" s="61"/>
      <c r="B177" s="61"/>
      <c r="C177" s="61"/>
      <c r="D177" s="61"/>
      <c r="E177" s="61"/>
      <c r="F177" s="61"/>
      <c r="G177" s="61"/>
      <c r="H177" s="61"/>
      <c r="I177" s="61"/>
      <c r="J177" s="61"/>
    </row>
    <row r="195" spans="1:44" x14ac:dyDescent="0.3">
      <c r="A195" s="3" t="s">
        <v>0</v>
      </c>
      <c r="B195" s="3">
        <v>2010</v>
      </c>
      <c r="C195" s="3">
        <f>B195+1</f>
        <v>2011</v>
      </c>
      <c r="D195" s="3">
        <f t="shared" ref="D195:J195" si="5">C195+1</f>
        <v>2012</v>
      </c>
      <c r="E195" s="3">
        <f t="shared" si="5"/>
        <v>2013</v>
      </c>
      <c r="F195" s="3">
        <f t="shared" si="5"/>
        <v>2014</v>
      </c>
      <c r="G195" s="3">
        <f t="shared" si="5"/>
        <v>2015</v>
      </c>
      <c r="H195" s="3">
        <f t="shared" si="5"/>
        <v>2016</v>
      </c>
      <c r="I195" s="3">
        <f t="shared" si="5"/>
        <v>2017</v>
      </c>
      <c r="J195" s="3">
        <f t="shared" si="5"/>
        <v>2018</v>
      </c>
    </row>
    <row r="196" spans="1:44" s="4" customFormat="1" x14ac:dyDescent="0.3">
      <c r="A196" s="72" t="s">
        <v>6</v>
      </c>
      <c r="B196" s="67">
        <f>Calculate!C87</f>
        <v>0</v>
      </c>
      <c r="C196" s="67">
        <f>Calculate!D87</f>
        <v>0</v>
      </c>
      <c r="D196" s="67">
        <f>Calculate!E87</f>
        <v>0</v>
      </c>
      <c r="E196" s="67">
        <f>Calculate!F87</f>
        <v>0</v>
      </c>
      <c r="F196" s="67">
        <f>Calculate!G87</f>
        <v>0</v>
      </c>
      <c r="G196" s="67">
        <f>Calculate!H87</f>
        <v>0</v>
      </c>
      <c r="H196" s="67">
        <f>Calculate!I87</f>
        <v>0</v>
      </c>
      <c r="I196" s="67">
        <f>Calculate!J87</f>
        <v>0</v>
      </c>
      <c r="J196" s="67">
        <f>Calculate!K87</f>
        <v>0</v>
      </c>
      <c r="AQ196" s="5"/>
      <c r="AR196" s="5"/>
    </row>
    <row r="197" spans="1:44" x14ac:dyDescent="0.3">
      <c r="A197" s="72"/>
      <c r="B197" s="67"/>
      <c r="C197" s="67"/>
      <c r="D197" s="67"/>
      <c r="E197" s="67"/>
      <c r="F197" s="67"/>
      <c r="G197" s="67"/>
      <c r="H197" s="67"/>
      <c r="I197" s="67"/>
      <c r="J197" s="67"/>
    </row>
    <row r="198" spans="1:44" x14ac:dyDescent="0.3">
      <c r="A198" s="1" t="s">
        <v>7</v>
      </c>
    </row>
    <row r="199" spans="1:44" ht="15.75" customHeight="1" x14ac:dyDescent="0.3">
      <c r="A199" s="64" t="s">
        <v>110</v>
      </c>
      <c r="B199" s="64"/>
      <c r="C199" s="64"/>
      <c r="D199" s="64"/>
      <c r="E199" s="64"/>
      <c r="F199" s="64"/>
      <c r="G199" s="64"/>
      <c r="H199" s="64"/>
      <c r="I199" s="64"/>
      <c r="J199" s="64"/>
    </row>
    <row r="201" spans="1:44" ht="15.75" customHeight="1" x14ac:dyDescent="0.3">
      <c r="A201" s="68" t="s">
        <v>98</v>
      </c>
      <c r="B201" s="68"/>
      <c r="C201" s="68"/>
      <c r="D201" s="68"/>
      <c r="E201" s="68"/>
      <c r="F201" s="68"/>
      <c r="G201" s="68"/>
      <c r="H201" s="68"/>
      <c r="I201" s="68"/>
      <c r="J201" s="68"/>
    </row>
    <row r="202" spans="1:44" ht="15" customHeight="1" x14ac:dyDescent="0.3">
      <c r="A202" s="68"/>
      <c r="B202" s="68"/>
      <c r="C202" s="68"/>
      <c r="D202" s="68"/>
      <c r="E202" s="68"/>
      <c r="F202" s="68"/>
      <c r="G202" s="68"/>
      <c r="H202" s="68"/>
      <c r="I202" s="68"/>
      <c r="J202" s="68"/>
    </row>
    <row r="219" spans="1:10" ht="15.75" customHeight="1" x14ac:dyDescent="0.3">
      <c r="A219" s="64" t="s">
        <v>126</v>
      </c>
      <c r="B219" s="64"/>
      <c r="C219" s="64"/>
      <c r="D219" s="64"/>
      <c r="E219" s="64"/>
      <c r="F219" s="64"/>
      <c r="G219" s="64"/>
      <c r="H219" s="64"/>
      <c r="I219" s="64"/>
      <c r="J219" s="64"/>
    </row>
    <row r="220" spans="1:10" ht="15" customHeight="1" x14ac:dyDescent="0.3">
      <c r="A220" s="64"/>
      <c r="B220" s="64"/>
      <c r="C220" s="64"/>
      <c r="D220" s="64"/>
      <c r="E220" s="64"/>
      <c r="F220" s="64"/>
      <c r="G220" s="64"/>
      <c r="H220" s="64"/>
      <c r="I220" s="64"/>
      <c r="J220" s="64"/>
    </row>
  </sheetData>
  <mergeCells count="31">
    <mergeCell ref="J196:J197"/>
    <mergeCell ref="A199:J199"/>
    <mergeCell ref="A172:J172"/>
    <mergeCell ref="A201:J202"/>
    <mergeCell ref="A219:J220"/>
    <mergeCell ref="D196:D197"/>
    <mergeCell ref="E196:E197"/>
    <mergeCell ref="F196:F197"/>
    <mergeCell ref="G196:G197"/>
    <mergeCell ref="H196:H197"/>
    <mergeCell ref="A103:J105"/>
    <mergeCell ref="A126:J129"/>
    <mergeCell ref="A147:J148"/>
    <mergeCell ref="A152:J153"/>
    <mergeCell ref="A174:J177"/>
    <mergeCell ref="A1:J48"/>
    <mergeCell ref="A74:J74"/>
    <mergeCell ref="I196:I197"/>
    <mergeCell ref="A123:I124"/>
    <mergeCell ref="B72:C72"/>
    <mergeCell ref="F72:G72"/>
    <mergeCell ref="A95:A96"/>
    <mergeCell ref="A97:A98"/>
    <mergeCell ref="A52:J53"/>
    <mergeCell ref="A76:J77"/>
    <mergeCell ref="A100:J100"/>
    <mergeCell ref="A101:J102"/>
    <mergeCell ref="B171:C171"/>
    <mergeCell ref="A196:A197"/>
    <mergeCell ref="B196:B197"/>
    <mergeCell ref="C196:C197"/>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11"/>
  <sheetViews>
    <sheetView view="pageLayout" zoomScale="91" zoomScaleNormal="100" zoomScalePageLayoutView="91" workbookViewId="0">
      <selection activeCell="A4" sqref="A1:G1048576"/>
    </sheetView>
  </sheetViews>
  <sheetFormatPr defaultRowHeight="15.6" x14ac:dyDescent="0.3"/>
  <cols>
    <col min="1" max="1" width="3.88671875" style="32" customWidth="1"/>
    <col min="2" max="2" width="10" customWidth="1"/>
    <col min="3" max="3" width="14.88671875" customWidth="1"/>
    <col min="4" max="4" width="18.88671875" customWidth="1"/>
    <col min="5" max="5" width="10" bestFit="1" customWidth="1"/>
    <col min="6" max="6" width="14.33203125" customWidth="1"/>
    <col min="7" max="7" width="14.6640625" customWidth="1"/>
  </cols>
  <sheetData>
    <row r="1" spans="1:41" s="1" customFormat="1" ht="15" customHeight="1" x14ac:dyDescent="0.3">
      <c r="A1" s="61" t="s">
        <v>213</v>
      </c>
      <c r="B1" s="61"/>
      <c r="C1" s="61"/>
      <c r="D1" s="61"/>
      <c r="E1" s="61"/>
      <c r="F1" s="61"/>
      <c r="G1" s="61"/>
      <c r="AN1"/>
      <c r="AO1"/>
    </row>
    <row r="2" spans="1:41" s="1" customFormat="1" ht="15" customHeight="1" x14ac:dyDescent="0.3">
      <c r="A2" s="61"/>
      <c r="B2" s="61"/>
      <c r="C2" s="61"/>
      <c r="D2" s="61"/>
      <c r="E2" s="61"/>
      <c r="F2" s="61"/>
      <c r="G2" s="61"/>
      <c r="AN2"/>
      <c r="AO2"/>
    </row>
    <row r="3" spans="1:41" s="1" customFormat="1" ht="15.75" customHeight="1" x14ac:dyDescent="0.3">
      <c r="A3" s="62" t="s">
        <v>147</v>
      </c>
      <c r="B3" s="62"/>
      <c r="C3" s="62"/>
      <c r="D3" s="62"/>
      <c r="E3" s="62"/>
      <c r="F3" s="62"/>
      <c r="G3" s="62"/>
      <c r="AN3"/>
      <c r="AO3"/>
    </row>
    <row r="4" spans="1:41" s="1" customFormat="1" ht="36.75" customHeight="1" x14ac:dyDescent="0.3">
      <c r="A4" s="36" t="s">
        <v>84</v>
      </c>
      <c r="B4" s="34" t="s">
        <v>8</v>
      </c>
      <c r="C4" s="34" t="s">
        <v>11</v>
      </c>
      <c r="D4" s="34" t="s">
        <v>9</v>
      </c>
      <c r="E4" s="34" t="s">
        <v>85</v>
      </c>
      <c r="F4" s="34" t="s">
        <v>86</v>
      </c>
      <c r="G4" s="34" t="s">
        <v>10</v>
      </c>
      <c r="AN4"/>
      <c r="AO4"/>
    </row>
    <row r="5" spans="1:41" s="1" customFormat="1" ht="312" x14ac:dyDescent="0.3">
      <c r="A5" s="37">
        <v>1</v>
      </c>
      <c r="B5" s="35" t="s">
        <v>154</v>
      </c>
      <c r="C5" s="35" t="s">
        <v>66</v>
      </c>
      <c r="D5" s="35" t="s">
        <v>164</v>
      </c>
      <c r="E5" s="35" t="s">
        <v>277</v>
      </c>
      <c r="F5" s="35" t="s">
        <v>278</v>
      </c>
      <c r="G5" s="35"/>
      <c r="AN5"/>
      <c r="AO5"/>
    </row>
    <row r="6" spans="1:41" s="1" customFormat="1" ht="31.5" customHeight="1" x14ac:dyDescent="0.3">
      <c r="A6" s="37">
        <v>2</v>
      </c>
      <c r="B6" s="35" t="s">
        <v>214</v>
      </c>
      <c r="C6" s="35" t="s">
        <v>215</v>
      </c>
      <c r="D6" s="73" t="s">
        <v>216</v>
      </c>
      <c r="E6" s="79" t="s">
        <v>277</v>
      </c>
      <c r="F6" s="73" t="s">
        <v>279</v>
      </c>
      <c r="G6" s="82"/>
      <c r="AN6"/>
      <c r="AO6"/>
    </row>
    <row r="7" spans="1:41" s="1" customFormat="1" ht="31.2" x14ac:dyDescent="0.3">
      <c r="A7" s="37">
        <v>3</v>
      </c>
      <c r="B7" s="35" t="s">
        <v>217</v>
      </c>
      <c r="C7" s="35" t="s">
        <v>215</v>
      </c>
      <c r="D7" s="74"/>
      <c r="E7" s="80"/>
      <c r="F7" s="74"/>
      <c r="G7" s="83"/>
      <c r="AN7"/>
      <c r="AO7"/>
    </row>
    <row r="8" spans="1:41" s="1" customFormat="1" ht="31.2" x14ac:dyDescent="0.3">
      <c r="A8" s="37">
        <v>4</v>
      </c>
      <c r="B8" s="35" t="s">
        <v>218</v>
      </c>
      <c r="C8" s="35" t="s">
        <v>209</v>
      </c>
      <c r="D8" s="74"/>
      <c r="E8" s="80"/>
      <c r="F8" s="74"/>
      <c r="G8" s="83"/>
      <c r="AN8"/>
      <c r="AO8"/>
    </row>
    <row r="9" spans="1:41" s="1" customFormat="1" ht="31.2" x14ac:dyDescent="0.3">
      <c r="A9" s="37">
        <v>5</v>
      </c>
      <c r="B9" s="35" t="s">
        <v>219</v>
      </c>
      <c r="C9" s="35" t="s">
        <v>204</v>
      </c>
      <c r="D9" s="74"/>
      <c r="E9" s="80"/>
      <c r="F9" s="74"/>
      <c r="G9" s="83"/>
      <c r="AN9"/>
      <c r="AO9"/>
    </row>
    <row r="10" spans="1:41" s="1" customFormat="1" ht="31.2" x14ac:dyDescent="0.3">
      <c r="A10" s="37">
        <v>6</v>
      </c>
      <c r="B10" s="35" t="s">
        <v>220</v>
      </c>
      <c r="C10" s="35" t="s">
        <v>204</v>
      </c>
      <c r="D10" s="75"/>
      <c r="E10" s="81"/>
      <c r="F10" s="75"/>
      <c r="G10" s="84"/>
      <c r="AN10"/>
      <c r="AO10"/>
    </row>
    <row r="11" spans="1:41" s="1" customFormat="1" ht="78.75" customHeight="1" x14ac:dyDescent="0.3">
      <c r="A11" s="32"/>
      <c r="B11"/>
      <c r="C11"/>
      <c r="D11"/>
      <c r="E11"/>
      <c r="F11"/>
      <c r="G11"/>
      <c r="AN11"/>
      <c r="AO11"/>
    </row>
  </sheetData>
  <mergeCells count="6">
    <mergeCell ref="A1:G2"/>
    <mergeCell ref="A3:G3"/>
    <mergeCell ref="D6:D10"/>
    <mergeCell ref="E6:E10"/>
    <mergeCell ref="F6:F10"/>
    <mergeCell ref="G6:G10"/>
  </mergeCells>
  <pageMargins left="0.7" right="0.63541666666666663"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241"/>
  <sheetViews>
    <sheetView showGridLines="0" showWhiteSpace="0" view="pageLayout" topLeftCell="A214" zoomScale="93" zoomScaleNormal="100" zoomScaleSheetLayoutView="100" zoomScalePageLayoutView="93" workbookViewId="0">
      <selection activeCell="A125" sqref="A125:J128"/>
    </sheetView>
  </sheetViews>
  <sheetFormatPr defaultColWidth="9.109375" defaultRowHeight="14.4" x14ac:dyDescent="0.3"/>
  <cols>
    <col min="1" max="1" width="13.109375" style="1" customWidth="1"/>
    <col min="2" max="10" width="7.88671875" style="1" customWidth="1"/>
    <col min="11" max="21" width="9.109375" style="1"/>
    <col min="22" max="22" width="11" style="1" customWidth="1"/>
    <col min="23" max="42" width="9.109375" style="1"/>
    <col min="45" max="261" width="9.109375" style="1"/>
    <col min="262" max="262" width="14.5546875" style="1" customWidth="1"/>
    <col min="263" max="263" width="15.5546875" style="1" customWidth="1"/>
    <col min="264" max="264" width="16.5546875" style="1" customWidth="1"/>
    <col min="265" max="265" width="11.33203125" style="1" customWidth="1"/>
    <col min="266" max="277" width="9.109375" style="1"/>
    <col min="278" max="278" width="11" style="1" customWidth="1"/>
    <col min="279" max="517" width="9.109375" style="1"/>
    <col min="518" max="518" width="14.5546875" style="1" customWidth="1"/>
    <col min="519" max="519" width="15.5546875" style="1" customWidth="1"/>
    <col min="520" max="520" width="16.5546875" style="1" customWidth="1"/>
    <col min="521" max="521" width="11.33203125" style="1" customWidth="1"/>
    <col min="522" max="533" width="9.109375" style="1"/>
    <col min="534" max="534" width="11" style="1" customWidth="1"/>
    <col min="535" max="773" width="9.109375" style="1"/>
    <col min="774" max="774" width="14.5546875" style="1" customWidth="1"/>
    <col min="775" max="775" width="15.5546875" style="1" customWidth="1"/>
    <col min="776" max="776" width="16.5546875" style="1" customWidth="1"/>
    <col min="777" max="777" width="11.33203125" style="1" customWidth="1"/>
    <col min="778" max="789" width="9.109375" style="1"/>
    <col min="790" max="790" width="11" style="1" customWidth="1"/>
    <col min="791" max="1029" width="9.109375" style="1"/>
    <col min="1030" max="1030" width="14.5546875" style="1" customWidth="1"/>
    <col min="1031" max="1031" width="15.5546875" style="1" customWidth="1"/>
    <col min="1032" max="1032" width="16.5546875" style="1" customWidth="1"/>
    <col min="1033" max="1033" width="11.33203125" style="1" customWidth="1"/>
    <col min="1034" max="1045" width="9.109375" style="1"/>
    <col min="1046" max="1046" width="11" style="1" customWidth="1"/>
    <col min="1047" max="1285" width="9.109375" style="1"/>
    <col min="1286" max="1286" width="14.5546875" style="1" customWidth="1"/>
    <col min="1287" max="1287" width="15.5546875" style="1" customWidth="1"/>
    <col min="1288" max="1288" width="16.5546875" style="1" customWidth="1"/>
    <col min="1289" max="1289" width="11.33203125" style="1" customWidth="1"/>
    <col min="1290" max="1301" width="9.109375" style="1"/>
    <col min="1302" max="1302" width="11" style="1" customWidth="1"/>
    <col min="1303" max="1541" width="9.109375" style="1"/>
    <col min="1542" max="1542" width="14.5546875" style="1" customWidth="1"/>
    <col min="1543" max="1543" width="15.5546875" style="1" customWidth="1"/>
    <col min="1544" max="1544" width="16.5546875" style="1" customWidth="1"/>
    <col min="1545" max="1545" width="11.33203125" style="1" customWidth="1"/>
    <col min="1546" max="1557" width="9.109375" style="1"/>
    <col min="1558" max="1558" width="11" style="1" customWidth="1"/>
    <col min="1559" max="1797" width="9.109375" style="1"/>
    <col min="1798" max="1798" width="14.5546875" style="1" customWidth="1"/>
    <col min="1799" max="1799" width="15.5546875" style="1" customWidth="1"/>
    <col min="1800" max="1800" width="16.5546875" style="1" customWidth="1"/>
    <col min="1801" max="1801" width="11.33203125" style="1" customWidth="1"/>
    <col min="1802" max="1813" width="9.109375" style="1"/>
    <col min="1814" max="1814" width="11" style="1" customWidth="1"/>
    <col min="1815" max="2053" width="9.109375" style="1"/>
    <col min="2054" max="2054" width="14.5546875" style="1" customWidth="1"/>
    <col min="2055" max="2055" width="15.5546875" style="1" customWidth="1"/>
    <col min="2056" max="2056" width="16.5546875" style="1" customWidth="1"/>
    <col min="2057" max="2057" width="11.33203125" style="1" customWidth="1"/>
    <col min="2058" max="2069" width="9.109375" style="1"/>
    <col min="2070" max="2070" width="11" style="1" customWidth="1"/>
    <col min="2071" max="2309" width="9.109375" style="1"/>
    <col min="2310" max="2310" width="14.5546875" style="1" customWidth="1"/>
    <col min="2311" max="2311" width="15.5546875" style="1" customWidth="1"/>
    <col min="2312" max="2312" width="16.5546875" style="1" customWidth="1"/>
    <col min="2313" max="2313" width="11.33203125" style="1" customWidth="1"/>
    <col min="2314" max="2325" width="9.109375" style="1"/>
    <col min="2326" max="2326" width="11" style="1" customWidth="1"/>
    <col min="2327" max="2565" width="9.109375" style="1"/>
    <col min="2566" max="2566" width="14.5546875" style="1" customWidth="1"/>
    <col min="2567" max="2567" width="15.5546875" style="1" customWidth="1"/>
    <col min="2568" max="2568" width="16.5546875" style="1" customWidth="1"/>
    <col min="2569" max="2569" width="11.33203125" style="1" customWidth="1"/>
    <col min="2570" max="2581" width="9.109375" style="1"/>
    <col min="2582" max="2582" width="11" style="1" customWidth="1"/>
    <col min="2583" max="2821" width="9.109375" style="1"/>
    <col min="2822" max="2822" width="14.5546875" style="1" customWidth="1"/>
    <col min="2823" max="2823" width="15.5546875" style="1" customWidth="1"/>
    <col min="2824" max="2824" width="16.5546875" style="1" customWidth="1"/>
    <col min="2825" max="2825" width="11.33203125" style="1" customWidth="1"/>
    <col min="2826" max="2837" width="9.109375" style="1"/>
    <col min="2838" max="2838" width="11" style="1" customWidth="1"/>
    <col min="2839" max="3077" width="9.109375" style="1"/>
    <col min="3078" max="3078" width="14.5546875" style="1" customWidth="1"/>
    <col min="3079" max="3079" width="15.5546875" style="1" customWidth="1"/>
    <col min="3080" max="3080" width="16.5546875" style="1" customWidth="1"/>
    <col min="3081" max="3081" width="11.33203125" style="1" customWidth="1"/>
    <col min="3082" max="3093" width="9.109375" style="1"/>
    <col min="3094" max="3094" width="11" style="1" customWidth="1"/>
    <col min="3095" max="3333" width="9.109375" style="1"/>
    <col min="3334" max="3334" width="14.5546875" style="1" customWidth="1"/>
    <col min="3335" max="3335" width="15.5546875" style="1" customWidth="1"/>
    <col min="3336" max="3336" width="16.5546875" style="1" customWidth="1"/>
    <col min="3337" max="3337" width="11.33203125" style="1" customWidth="1"/>
    <col min="3338" max="3349" width="9.109375" style="1"/>
    <col min="3350" max="3350" width="11" style="1" customWidth="1"/>
    <col min="3351" max="3589" width="9.109375" style="1"/>
    <col min="3590" max="3590" width="14.5546875" style="1" customWidth="1"/>
    <col min="3591" max="3591" width="15.5546875" style="1" customWidth="1"/>
    <col min="3592" max="3592" width="16.5546875" style="1" customWidth="1"/>
    <col min="3593" max="3593" width="11.33203125" style="1" customWidth="1"/>
    <col min="3594" max="3605" width="9.109375" style="1"/>
    <col min="3606" max="3606" width="11" style="1" customWidth="1"/>
    <col min="3607" max="3845" width="9.109375" style="1"/>
    <col min="3846" max="3846" width="14.5546875" style="1" customWidth="1"/>
    <col min="3847" max="3847" width="15.5546875" style="1" customWidth="1"/>
    <col min="3848" max="3848" width="16.5546875" style="1" customWidth="1"/>
    <col min="3849" max="3849" width="11.33203125" style="1" customWidth="1"/>
    <col min="3850" max="3861" width="9.109375" style="1"/>
    <col min="3862" max="3862" width="11" style="1" customWidth="1"/>
    <col min="3863" max="4101" width="9.109375" style="1"/>
    <col min="4102" max="4102" width="14.5546875" style="1" customWidth="1"/>
    <col min="4103" max="4103" width="15.5546875" style="1" customWidth="1"/>
    <col min="4104" max="4104" width="16.5546875" style="1" customWidth="1"/>
    <col min="4105" max="4105" width="11.33203125" style="1" customWidth="1"/>
    <col min="4106" max="4117" width="9.109375" style="1"/>
    <col min="4118" max="4118" width="11" style="1" customWidth="1"/>
    <col min="4119" max="4357" width="9.109375" style="1"/>
    <col min="4358" max="4358" width="14.5546875" style="1" customWidth="1"/>
    <col min="4359" max="4359" width="15.5546875" style="1" customWidth="1"/>
    <col min="4360" max="4360" width="16.5546875" style="1" customWidth="1"/>
    <col min="4361" max="4361" width="11.33203125" style="1" customWidth="1"/>
    <col min="4362" max="4373" width="9.109375" style="1"/>
    <col min="4374" max="4374" width="11" style="1" customWidth="1"/>
    <col min="4375" max="4613" width="9.109375" style="1"/>
    <col min="4614" max="4614" width="14.5546875" style="1" customWidth="1"/>
    <col min="4615" max="4615" width="15.5546875" style="1" customWidth="1"/>
    <col min="4616" max="4616" width="16.5546875" style="1" customWidth="1"/>
    <col min="4617" max="4617" width="11.33203125" style="1" customWidth="1"/>
    <col min="4618" max="4629" width="9.109375" style="1"/>
    <col min="4630" max="4630" width="11" style="1" customWidth="1"/>
    <col min="4631" max="4869" width="9.109375" style="1"/>
    <col min="4870" max="4870" width="14.5546875" style="1" customWidth="1"/>
    <col min="4871" max="4871" width="15.5546875" style="1" customWidth="1"/>
    <col min="4872" max="4872" width="16.5546875" style="1" customWidth="1"/>
    <col min="4873" max="4873" width="11.33203125" style="1" customWidth="1"/>
    <col min="4874" max="4885" width="9.109375" style="1"/>
    <col min="4886" max="4886" width="11" style="1" customWidth="1"/>
    <col min="4887" max="5125" width="9.109375" style="1"/>
    <col min="5126" max="5126" width="14.5546875" style="1" customWidth="1"/>
    <col min="5127" max="5127" width="15.5546875" style="1" customWidth="1"/>
    <col min="5128" max="5128" width="16.5546875" style="1" customWidth="1"/>
    <col min="5129" max="5129" width="11.33203125" style="1" customWidth="1"/>
    <col min="5130" max="5141" width="9.109375" style="1"/>
    <col min="5142" max="5142" width="11" style="1" customWidth="1"/>
    <col min="5143" max="5381" width="9.109375" style="1"/>
    <col min="5382" max="5382" width="14.5546875" style="1" customWidth="1"/>
    <col min="5383" max="5383" width="15.5546875" style="1" customWidth="1"/>
    <col min="5384" max="5384" width="16.5546875" style="1" customWidth="1"/>
    <col min="5385" max="5385" width="11.33203125" style="1" customWidth="1"/>
    <col min="5386" max="5397" width="9.109375" style="1"/>
    <col min="5398" max="5398" width="11" style="1" customWidth="1"/>
    <col min="5399" max="5637" width="9.109375" style="1"/>
    <col min="5638" max="5638" width="14.5546875" style="1" customWidth="1"/>
    <col min="5639" max="5639" width="15.5546875" style="1" customWidth="1"/>
    <col min="5640" max="5640" width="16.5546875" style="1" customWidth="1"/>
    <col min="5641" max="5641" width="11.33203125" style="1" customWidth="1"/>
    <col min="5642" max="5653" width="9.109375" style="1"/>
    <col min="5654" max="5654" width="11" style="1" customWidth="1"/>
    <col min="5655" max="5893" width="9.109375" style="1"/>
    <col min="5894" max="5894" width="14.5546875" style="1" customWidth="1"/>
    <col min="5895" max="5895" width="15.5546875" style="1" customWidth="1"/>
    <col min="5896" max="5896" width="16.5546875" style="1" customWidth="1"/>
    <col min="5897" max="5897" width="11.33203125" style="1" customWidth="1"/>
    <col min="5898" max="5909" width="9.109375" style="1"/>
    <col min="5910" max="5910" width="11" style="1" customWidth="1"/>
    <col min="5911" max="6149" width="9.109375" style="1"/>
    <col min="6150" max="6150" width="14.5546875" style="1" customWidth="1"/>
    <col min="6151" max="6151" width="15.5546875" style="1" customWidth="1"/>
    <col min="6152" max="6152" width="16.5546875" style="1" customWidth="1"/>
    <col min="6153" max="6153" width="11.33203125" style="1" customWidth="1"/>
    <col min="6154" max="6165" width="9.109375" style="1"/>
    <col min="6166" max="6166" width="11" style="1" customWidth="1"/>
    <col min="6167" max="6405" width="9.109375" style="1"/>
    <col min="6406" max="6406" width="14.5546875" style="1" customWidth="1"/>
    <col min="6407" max="6407" width="15.5546875" style="1" customWidth="1"/>
    <col min="6408" max="6408" width="16.5546875" style="1" customWidth="1"/>
    <col min="6409" max="6409" width="11.33203125" style="1" customWidth="1"/>
    <col min="6410" max="6421" width="9.109375" style="1"/>
    <col min="6422" max="6422" width="11" style="1" customWidth="1"/>
    <col min="6423" max="6661" width="9.109375" style="1"/>
    <col min="6662" max="6662" width="14.5546875" style="1" customWidth="1"/>
    <col min="6663" max="6663" width="15.5546875" style="1" customWidth="1"/>
    <col min="6664" max="6664" width="16.5546875" style="1" customWidth="1"/>
    <col min="6665" max="6665" width="11.33203125" style="1" customWidth="1"/>
    <col min="6666" max="6677" width="9.109375" style="1"/>
    <col min="6678" max="6678" width="11" style="1" customWidth="1"/>
    <col min="6679" max="6917" width="9.109375" style="1"/>
    <col min="6918" max="6918" width="14.5546875" style="1" customWidth="1"/>
    <col min="6919" max="6919" width="15.5546875" style="1" customWidth="1"/>
    <col min="6920" max="6920" width="16.5546875" style="1" customWidth="1"/>
    <col min="6921" max="6921" width="11.33203125" style="1" customWidth="1"/>
    <col min="6922" max="6933" width="9.109375" style="1"/>
    <col min="6934" max="6934" width="11" style="1" customWidth="1"/>
    <col min="6935" max="7173" width="9.109375" style="1"/>
    <col min="7174" max="7174" width="14.5546875" style="1" customWidth="1"/>
    <col min="7175" max="7175" width="15.5546875" style="1" customWidth="1"/>
    <col min="7176" max="7176" width="16.5546875" style="1" customWidth="1"/>
    <col min="7177" max="7177" width="11.33203125" style="1" customWidth="1"/>
    <col min="7178" max="7189" width="9.109375" style="1"/>
    <col min="7190" max="7190" width="11" style="1" customWidth="1"/>
    <col min="7191" max="7429" width="9.109375" style="1"/>
    <col min="7430" max="7430" width="14.5546875" style="1" customWidth="1"/>
    <col min="7431" max="7431" width="15.5546875" style="1" customWidth="1"/>
    <col min="7432" max="7432" width="16.5546875" style="1" customWidth="1"/>
    <col min="7433" max="7433" width="11.33203125" style="1" customWidth="1"/>
    <col min="7434" max="7445" width="9.109375" style="1"/>
    <col min="7446" max="7446" width="11" style="1" customWidth="1"/>
    <col min="7447" max="7685" width="9.109375" style="1"/>
    <col min="7686" max="7686" width="14.5546875" style="1" customWidth="1"/>
    <col min="7687" max="7687" width="15.5546875" style="1" customWidth="1"/>
    <col min="7688" max="7688" width="16.5546875" style="1" customWidth="1"/>
    <col min="7689" max="7689" width="11.33203125" style="1" customWidth="1"/>
    <col min="7690" max="7701" width="9.109375" style="1"/>
    <col min="7702" max="7702" width="11" style="1" customWidth="1"/>
    <col min="7703" max="7941" width="9.109375" style="1"/>
    <col min="7942" max="7942" width="14.5546875" style="1" customWidth="1"/>
    <col min="7943" max="7943" width="15.5546875" style="1" customWidth="1"/>
    <col min="7944" max="7944" width="16.5546875" style="1" customWidth="1"/>
    <col min="7945" max="7945" width="11.33203125" style="1" customWidth="1"/>
    <col min="7946" max="7957" width="9.109375" style="1"/>
    <col min="7958" max="7958" width="11" style="1" customWidth="1"/>
    <col min="7959" max="8197" width="9.109375" style="1"/>
    <col min="8198" max="8198" width="14.5546875" style="1" customWidth="1"/>
    <col min="8199" max="8199" width="15.5546875" style="1" customWidth="1"/>
    <col min="8200" max="8200" width="16.5546875" style="1" customWidth="1"/>
    <col min="8201" max="8201" width="11.33203125" style="1" customWidth="1"/>
    <col min="8202" max="8213" width="9.109375" style="1"/>
    <col min="8214" max="8214" width="11" style="1" customWidth="1"/>
    <col min="8215" max="8453" width="9.109375" style="1"/>
    <col min="8454" max="8454" width="14.5546875" style="1" customWidth="1"/>
    <col min="8455" max="8455" width="15.5546875" style="1" customWidth="1"/>
    <col min="8456" max="8456" width="16.5546875" style="1" customWidth="1"/>
    <col min="8457" max="8457" width="11.33203125" style="1" customWidth="1"/>
    <col min="8458" max="8469" width="9.109375" style="1"/>
    <col min="8470" max="8470" width="11" style="1" customWidth="1"/>
    <col min="8471" max="8709" width="9.109375" style="1"/>
    <col min="8710" max="8710" width="14.5546875" style="1" customWidth="1"/>
    <col min="8711" max="8711" width="15.5546875" style="1" customWidth="1"/>
    <col min="8712" max="8712" width="16.5546875" style="1" customWidth="1"/>
    <col min="8713" max="8713" width="11.33203125" style="1" customWidth="1"/>
    <col min="8714" max="8725" width="9.109375" style="1"/>
    <col min="8726" max="8726" width="11" style="1" customWidth="1"/>
    <col min="8727" max="8965" width="9.109375" style="1"/>
    <col min="8966" max="8966" width="14.5546875" style="1" customWidth="1"/>
    <col min="8967" max="8967" width="15.5546875" style="1" customWidth="1"/>
    <col min="8968" max="8968" width="16.5546875" style="1" customWidth="1"/>
    <col min="8969" max="8969" width="11.33203125" style="1" customWidth="1"/>
    <col min="8970" max="8981" width="9.109375" style="1"/>
    <col min="8982" max="8982" width="11" style="1" customWidth="1"/>
    <col min="8983" max="9221" width="9.109375" style="1"/>
    <col min="9222" max="9222" width="14.5546875" style="1" customWidth="1"/>
    <col min="9223" max="9223" width="15.5546875" style="1" customWidth="1"/>
    <col min="9224" max="9224" width="16.5546875" style="1" customWidth="1"/>
    <col min="9225" max="9225" width="11.33203125" style="1" customWidth="1"/>
    <col min="9226" max="9237" width="9.109375" style="1"/>
    <col min="9238" max="9238" width="11" style="1" customWidth="1"/>
    <col min="9239" max="9477" width="9.109375" style="1"/>
    <col min="9478" max="9478" width="14.5546875" style="1" customWidth="1"/>
    <col min="9479" max="9479" width="15.5546875" style="1" customWidth="1"/>
    <col min="9480" max="9480" width="16.5546875" style="1" customWidth="1"/>
    <col min="9481" max="9481" width="11.33203125" style="1" customWidth="1"/>
    <col min="9482" max="9493" width="9.109375" style="1"/>
    <col min="9494" max="9494" width="11" style="1" customWidth="1"/>
    <col min="9495" max="9733" width="9.109375" style="1"/>
    <col min="9734" max="9734" width="14.5546875" style="1" customWidth="1"/>
    <col min="9735" max="9735" width="15.5546875" style="1" customWidth="1"/>
    <col min="9736" max="9736" width="16.5546875" style="1" customWidth="1"/>
    <col min="9737" max="9737" width="11.33203125" style="1" customWidth="1"/>
    <col min="9738" max="9749" width="9.109375" style="1"/>
    <col min="9750" max="9750" width="11" style="1" customWidth="1"/>
    <col min="9751" max="9989" width="9.109375" style="1"/>
    <col min="9990" max="9990" width="14.5546875" style="1" customWidth="1"/>
    <col min="9991" max="9991" width="15.5546875" style="1" customWidth="1"/>
    <col min="9992" max="9992" width="16.5546875" style="1" customWidth="1"/>
    <col min="9993" max="9993" width="11.33203125" style="1" customWidth="1"/>
    <col min="9994" max="10005" width="9.109375" style="1"/>
    <col min="10006" max="10006" width="11" style="1" customWidth="1"/>
    <col min="10007" max="10245" width="9.109375" style="1"/>
    <col min="10246" max="10246" width="14.5546875" style="1" customWidth="1"/>
    <col min="10247" max="10247" width="15.5546875" style="1" customWidth="1"/>
    <col min="10248" max="10248" width="16.5546875" style="1" customWidth="1"/>
    <col min="10249" max="10249" width="11.33203125" style="1" customWidth="1"/>
    <col min="10250" max="10261" width="9.109375" style="1"/>
    <col min="10262" max="10262" width="11" style="1" customWidth="1"/>
    <col min="10263" max="10501" width="9.109375" style="1"/>
    <col min="10502" max="10502" width="14.5546875" style="1" customWidth="1"/>
    <col min="10503" max="10503" width="15.5546875" style="1" customWidth="1"/>
    <col min="10504" max="10504" width="16.5546875" style="1" customWidth="1"/>
    <col min="10505" max="10505" width="11.33203125" style="1" customWidth="1"/>
    <col min="10506" max="10517" width="9.109375" style="1"/>
    <col min="10518" max="10518" width="11" style="1" customWidth="1"/>
    <col min="10519" max="10757" width="9.109375" style="1"/>
    <col min="10758" max="10758" width="14.5546875" style="1" customWidth="1"/>
    <col min="10759" max="10759" width="15.5546875" style="1" customWidth="1"/>
    <col min="10760" max="10760" width="16.5546875" style="1" customWidth="1"/>
    <col min="10761" max="10761" width="11.33203125" style="1" customWidth="1"/>
    <col min="10762" max="10773" width="9.109375" style="1"/>
    <col min="10774" max="10774" width="11" style="1" customWidth="1"/>
    <col min="10775" max="11013" width="9.109375" style="1"/>
    <col min="11014" max="11014" width="14.5546875" style="1" customWidth="1"/>
    <col min="11015" max="11015" width="15.5546875" style="1" customWidth="1"/>
    <col min="11016" max="11016" width="16.5546875" style="1" customWidth="1"/>
    <col min="11017" max="11017" width="11.33203125" style="1" customWidth="1"/>
    <col min="11018" max="11029" width="9.109375" style="1"/>
    <col min="11030" max="11030" width="11" style="1" customWidth="1"/>
    <col min="11031" max="11269" width="9.109375" style="1"/>
    <col min="11270" max="11270" width="14.5546875" style="1" customWidth="1"/>
    <col min="11271" max="11271" width="15.5546875" style="1" customWidth="1"/>
    <col min="11272" max="11272" width="16.5546875" style="1" customWidth="1"/>
    <col min="11273" max="11273" width="11.33203125" style="1" customWidth="1"/>
    <col min="11274" max="11285" width="9.109375" style="1"/>
    <col min="11286" max="11286" width="11" style="1" customWidth="1"/>
    <col min="11287" max="11525" width="9.109375" style="1"/>
    <col min="11526" max="11526" width="14.5546875" style="1" customWidth="1"/>
    <col min="11527" max="11527" width="15.5546875" style="1" customWidth="1"/>
    <col min="11528" max="11528" width="16.5546875" style="1" customWidth="1"/>
    <col min="11529" max="11529" width="11.33203125" style="1" customWidth="1"/>
    <col min="11530" max="11541" width="9.109375" style="1"/>
    <col min="11542" max="11542" width="11" style="1" customWidth="1"/>
    <col min="11543" max="11781" width="9.109375" style="1"/>
    <col min="11782" max="11782" width="14.5546875" style="1" customWidth="1"/>
    <col min="11783" max="11783" width="15.5546875" style="1" customWidth="1"/>
    <col min="11784" max="11784" width="16.5546875" style="1" customWidth="1"/>
    <col min="11785" max="11785" width="11.33203125" style="1" customWidth="1"/>
    <col min="11786" max="11797" width="9.109375" style="1"/>
    <col min="11798" max="11798" width="11" style="1" customWidth="1"/>
    <col min="11799" max="12037" width="9.109375" style="1"/>
    <col min="12038" max="12038" width="14.5546875" style="1" customWidth="1"/>
    <col min="12039" max="12039" width="15.5546875" style="1" customWidth="1"/>
    <col min="12040" max="12040" width="16.5546875" style="1" customWidth="1"/>
    <col min="12041" max="12041" width="11.33203125" style="1" customWidth="1"/>
    <col min="12042" max="12053" width="9.109375" style="1"/>
    <col min="12054" max="12054" width="11" style="1" customWidth="1"/>
    <col min="12055" max="12293" width="9.109375" style="1"/>
    <col min="12294" max="12294" width="14.5546875" style="1" customWidth="1"/>
    <col min="12295" max="12295" width="15.5546875" style="1" customWidth="1"/>
    <col min="12296" max="12296" width="16.5546875" style="1" customWidth="1"/>
    <col min="12297" max="12297" width="11.33203125" style="1" customWidth="1"/>
    <col min="12298" max="12309" width="9.109375" style="1"/>
    <col min="12310" max="12310" width="11" style="1" customWidth="1"/>
    <col min="12311" max="12549" width="9.109375" style="1"/>
    <col min="12550" max="12550" width="14.5546875" style="1" customWidth="1"/>
    <col min="12551" max="12551" width="15.5546875" style="1" customWidth="1"/>
    <col min="12552" max="12552" width="16.5546875" style="1" customWidth="1"/>
    <col min="12553" max="12553" width="11.33203125" style="1" customWidth="1"/>
    <col min="12554" max="12565" width="9.109375" style="1"/>
    <col min="12566" max="12566" width="11" style="1" customWidth="1"/>
    <col min="12567" max="12805" width="9.109375" style="1"/>
    <col min="12806" max="12806" width="14.5546875" style="1" customWidth="1"/>
    <col min="12807" max="12807" width="15.5546875" style="1" customWidth="1"/>
    <col min="12808" max="12808" width="16.5546875" style="1" customWidth="1"/>
    <col min="12809" max="12809" width="11.33203125" style="1" customWidth="1"/>
    <col min="12810" max="12821" width="9.109375" style="1"/>
    <col min="12822" max="12822" width="11" style="1" customWidth="1"/>
    <col min="12823" max="13061" width="9.109375" style="1"/>
    <col min="13062" max="13062" width="14.5546875" style="1" customWidth="1"/>
    <col min="13063" max="13063" width="15.5546875" style="1" customWidth="1"/>
    <col min="13064" max="13064" width="16.5546875" style="1" customWidth="1"/>
    <col min="13065" max="13065" width="11.33203125" style="1" customWidth="1"/>
    <col min="13066" max="13077" width="9.109375" style="1"/>
    <col min="13078" max="13078" width="11" style="1" customWidth="1"/>
    <col min="13079" max="13317" width="9.109375" style="1"/>
    <col min="13318" max="13318" width="14.5546875" style="1" customWidth="1"/>
    <col min="13319" max="13319" width="15.5546875" style="1" customWidth="1"/>
    <col min="13320" max="13320" width="16.5546875" style="1" customWidth="1"/>
    <col min="13321" max="13321" width="11.33203125" style="1" customWidth="1"/>
    <col min="13322" max="13333" width="9.109375" style="1"/>
    <col min="13334" max="13334" width="11" style="1" customWidth="1"/>
    <col min="13335" max="13573" width="9.109375" style="1"/>
    <col min="13574" max="13574" width="14.5546875" style="1" customWidth="1"/>
    <col min="13575" max="13575" width="15.5546875" style="1" customWidth="1"/>
    <col min="13576" max="13576" width="16.5546875" style="1" customWidth="1"/>
    <col min="13577" max="13577" width="11.33203125" style="1" customWidth="1"/>
    <col min="13578" max="13589" width="9.109375" style="1"/>
    <col min="13590" max="13590" width="11" style="1" customWidth="1"/>
    <col min="13591" max="13829" width="9.109375" style="1"/>
    <col min="13830" max="13830" width="14.5546875" style="1" customWidth="1"/>
    <col min="13831" max="13831" width="15.5546875" style="1" customWidth="1"/>
    <col min="13832" max="13832" width="16.5546875" style="1" customWidth="1"/>
    <col min="13833" max="13833" width="11.33203125" style="1" customWidth="1"/>
    <col min="13834" max="13845" width="9.109375" style="1"/>
    <col min="13846" max="13846" width="11" style="1" customWidth="1"/>
    <col min="13847" max="14085" width="9.109375" style="1"/>
    <col min="14086" max="14086" width="14.5546875" style="1" customWidth="1"/>
    <col min="14087" max="14087" width="15.5546875" style="1" customWidth="1"/>
    <col min="14088" max="14088" width="16.5546875" style="1" customWidth="1"/>
    <col min="14089" max="14089" width="11.33203125" style="1" customWidth="1"/>
    <col min="14090" max="14101" width="9.109375" style="1"/>
    <col min="14102" max="14102" width="11" style="1" customWidth="1"/>
    <col min="14103" max="14341" width="9.109375" style="1"/>
    <col min="14342" max="14342" width="14.5546875" style="1" customWidth="1"/>
    <col min="14343" max="14343" width="15.5546875" style="1" customWidth="1"/>
    <col min="14344" max="14344" width="16.5546875" style="1" customWidth="1"/>
    <col min="14345" max="14345" width="11.33203125" style="1" customWidth="1"/>
    <col min="14346" max="14357" width="9.109375" style="1"/>
    <col min="14358" max="14358" width="11" style="1" customWidth="1"/>
    <col min="14359" max="14597" width="9.109375" style="1"/>
    <col min="14598" max="14598" width="14.5546875" style="1" customWidth="1"/>
    <col min="14599" max="14599" width="15.5546875" style="1" customWidth="1"/>
    <col min="14600" max="14600" width="16.5546875" style="1" customWidth="1"/>
    <col min="14601" max="14601" width="11.33203125" style="1" customWidth="1"/>
    <col min="14602" max="14613" width="9.109375" style="1"/>
    <col min="14614" max="14614" width="11" style="1" customWidth="1"/>
    <col min="14615" max="14853" width="9.109375" style="1"/>
    <col min="14854" max="14854" width="14.5546875" style="1" customWidth="1"/>
    <col min="14855" max="14855" width="15.5546875" style="1" customWidth="1"/>
    <col min="14856" max="14856" width="16.5546875" style="1" customWidth="1"/>
    <col min="14857" max="14857" width="11.33203125" style="1" customWidth="1"/>
    <col min="14858" max="14869" width="9.109375" style="1"/>
    <col min="14870" max="14870" width="11" style="1" customWidth="1"/>
    <col min="14871" max="15109" width="9.109375" style="1"/>
    <col min="15110" max="15110" width="14.5546875" style="1" customWidth="1"/>
    <col min="15111" max="15111" width="15.5546875" style="1" customWidth="1"/>
    <col min="15112" max="15112" width="16.5546875" style="1" customWidth="1"/>
    <col min="15113" max="15113" width="11.33203125" style="1" customWidth="1"/>
    <col min="15114" max="15125" width="9.109375" style="1"/>
    <col min="15126" max="15126" width="11" style="1" customWidth="1"/>
    <col min="15127" max="15365" width="9.109375" style="1"/>
    <col min="15366" max="15366" width="14.5546875" style="1" customWidth="1"/>
    <col min="15367" max="15367" width="15.5546875" style="1" customWidth="1"/>
    <col min="15368" max="15368" width="16.5546875" style="1" customWidth="1"/>
    <col min="15369" max="15369" width="11.33203125" style="1" customWidth="1"/>
    <col min="15370" max="15381" width="9.109375" style="1"/>
    <col min="15382" max="15382" width="11" style="1" customWidth="1"/>
    <col min="15383" max="15621" width="9.109375" style="1"/>
    <col min="15622" max="15622" width="14.5546875" style="1" customWidth="1"/>
    <col min="15623" max="15623" width="15.5546875" style="1" customWidth="1"/>
    <col min="15624" max="15624" width="16.5546875" style="1" customWidth="1"/>
    <col min="15625" max="15625" width="11.33203125" style="1" customWidth="1"/>
    <col min="15626" max="15637" width="9.109375" style="1"/>
    <col min="15638" max="15638" width="11" style="1" customWidth="1"/>
    <col min="15639" max="15877" width="9.109375" style="1"/>
    <col min="15878" max="15878" width="14.5546875" style="1" customWidth="1"/>
    <col min="15879" max="15879" width="15.5546875" style="1" customWidth="1"/>
    <col min="15880" max="15880" width="16.5546875" style="1" customWidth="1"/>
    <col min="15881" max="15881" width="11.33203125" style="1" customWidth="1"/>
    <col min="15882" max="15893" width="9.109375" style="1"/>
    <col min="15894" max="15894" width="11" style="1" customWidth="1"/>
    <col min="15895" max="16133" width="9.109375" style="1"/>
    <col min="16134" max="16134" width="14.5546875" style="1" customWidth="1"/>
    <col min="16135" max="16135" width="15.5546875" style="1" customWidth="1"/>
    <col min="16136" max="16136" width="16.5546875" style="1" customWidth="1"/>
    <col min="16137" max="16137" width="11.33203125" style="1" customWidth="1"/>
    <col min="16138" max="16149" width="9.109375" style="1"/>
    <col min="16150" max="16150" width="11" style="1" customWidth="1"/>
    <col min="16151" max="16384" width="9.109375" style="1"/>
  </cols>
  <sheetData>
    <row r="1" spans="1:44" ht="15" customHeight="1" x14ac:dyDescent="0.3">
      <c r="A1" s="63" t="s">
        <v>15</v>
      </c>
      <c r="B1" s="63"/>
      <c r="C1" s="63"/>
      <c r="D1" s="63"/>
      <c r="E1" s="63"/>
      <c r="F1" s="63"/>
      <c r="G1" s="63"/>
      <c r="H1" s="63"/>
      <c r="I1" s="63"/>
      <c r="J1" s="63"/>
    </row>
    <row r="2" spans="1:44" ht="15" customHeight="1" x14ac:dyDescent="0.3">
      <c r="A2" s="63"/>
      <c r="B2" s="63"/>
      <c r="C2" s="63"/>
      <c r="D2" s="63"/>
      <c r="E2" s="63"/>
      <c r="F2" s="63"/>
      <c r="G2" s="63"/>
      <c r="H2" s="63"/>
      <c r="I2" s="63"/>
      <c r="J2" s="63"/>
    </row>
    <row r="3" spans="1:44" ht="15" customHeight="1" x14ac:dyDescent="0.3">
      <c r="A3" s="63"/>
      <c r="B3" s="63"/>
      <c r="C3" s="63"/>
      <c r="D3" s="63"/>
      <c r="E3" s="63"/>
      <c r="F3" s="63"/>
      <c r="G3" s="63"/>
      <c r="H3" s="63"/>
      <c r="I3" s="63"/>
      <c r="J3" s="63"/>
    </row>
    <row r="4" spans="1:44" ht="15" customHeight="1" x14ac:dyDescent="0.3">
      <c r="A4" s="63"/>
      <c r="B4" s="63"/>
      <c r="C4" s="63"/>
      <c r="D4" s="63"/>
      <c r="E4" s="63"/>
      <c r="F4" s="63"/>
      <c r="G4" s="63"/>
      <c r="H4" s="63"/>
      <c r="I4" s="63"/>
      <c r="J4" s="63"/>
    </row>
    <row r="5" spans="1:44" ht="15" customHeight="1" x14ac:dyDescent="0.3">
      <c r="A5" s="63"/>
      <c r="B5" s="63"/>
      <c r="C5" s="63"/>
      <c r="D5" s="63"/>
      <c r="E5" s="63"/>
      <c r="F5" s="63"/>
      <c r="G5" s="63"/>
      <c r="H5" s="63"/>
      <c r="I5" s="63"/>
      <c r="J5" s="63"/>
    </row>
    <row r="6" spans="1:44" ht="15" customHeight="1" x14ac:dyDescent="0.3">
      <c r="A6" s="63"/>
      <c r="B6" s="63"/>
      <c r="C6" s="63"/>
      <c r="D6" s="63"/>
      <c r="E6" s="63"/>
      <c r="F6" s="63"/>
      <c r="G6" s="63"/>
      <c r="H6" s="63"/>
      <c r="I6" s="63"/>
      <c r="J6" s="63"/>
    </row>
    <row r="7" spans="1:44" ht="15" customHeight="1" x14ac:dyDescent="0.3">
      <c r="A7" s="63"/>
      <c r="B7" s="63"/>
      <c r="C7" s="63"/>
      <c r="D7" s="63"/>
      <c r="E7" s="63"/>
      <c r="F7" s="63"/>
      <c r="G7" s="63"/>
      <c r="H7" s="63"/>
      <c r="I7" s="63"/>
      <c r="J7" s="63"/>
    </row>
    <row r="8" spans="1:44" ht="15" customHeight="1" x14ac:dyDescent="0.3">
      <c r="A8" s="63"/>
      <c r="B8" s="63"/>
      <c r="C8" s="63"/>
      <c r="D8" s="63"/>
      <c r="E8" s="63"/>
      <c r="F8" s="63"/>
      <c r="G8" s="63"/>
      <c r="H8" s="63"/>
      <c r="I8" s="63"/>
      <c r="J8" s="63"/>
    </row>
    <row r="9" spans="1:44" ht="15" customHeight="1" x14ac:dyDescent="0.3">
      <c r="A9" s="63"/>
      <c r="B9" s="63"/>
      <c r="C9" s="63"/>
      <c r="D9" s="63"/>
      <c r="E9" s="63"/>
      <c r="F9" s="63"/>
      <c r="G9" s="63"/>
      <c r="H9" s="63"/>
      <c r="I9" s="63"/>
      <c r="J9" s="63"/>
    </row>
    <row r="10" spans="1:44" ht="15" customHeight="1" x14ac:dyDescent="0.3">
      <c r="A10" s="63"/>
      <c r="B10" s="63"/>
      <c r="C10" s="63"/>
      <c r="D10" s="63"/>
      <c r="E10" s="63"/>
      <c r="F10" s="63"/>
      <c r="G10" s="63"/>
      <c r="H10" s="63"/>
      <c r="I10" s="63"/>
      <c r="J10" s="63"/>
      <c r="AI10"/>
      <c r="AJ10"/>
      <c r="AQ10" s="1"/>
      <c r="AR10" s="1"/>
    </row>
    <row r="11" spans="1:44" ht="15" customHeight="1" x14ac:dyDescent="0.3">
      <c r="A11" s="63"/>
      <c r="B11" s="63"/>
      <c r="C11" s="63"/>
      <c r="D11" s="63"/>
      <c r="E11" s="63"/>
      <c r="F11" s="63"/>
      <c r="G11" s="63"/>
      <c r="H11" s="63"/>
      <c r="I11" s="63"/>
      <c r="J11" s="63"/>
      <c r="AI11"/>
      <c r="AJ11"/>
      <c r="AQ11" s="1"/>
      <c r="AR11" s="1"/>
    </row>
    <row r="12" spans="1:44" ht="24.75" customHeight="1" x14ac:dyDescent="0.3">
      <c r="A12" s="63"/>
      <c r="B12" s="63"/>
      <c r="C12" s="63"/>
      <c r="D12" s="63"/>
      <c r="E12" s="63"/>
      <c r="F12" s="63"/>
      <c r="G12" s="63"/>
      <c r="H12" s="63"/>
      <c r="I12" s="63"/>
      <c r="J12" s="63"/>
      <c r="AI12"/>
      <c r="AJ12"/>
      <c r="AQ12" s="1"/>
      <c r="AR12" s="1"/>
    </row>
    <row r="13" spans="1:44" ht="15" customHeight="1" x14ac:dyDescent="0.3">
      <c r="A13" s="63"/>
      <c r="B13" s="63"/>
      <c r="C13" s="63"/>
      <c r="D13" s="63"/>
      <c r="E13" s="63"/>
      <c r="F13" s="63"/>
      <c r="G13" s="63"/>
      <c r="H13" s="63"/>
      <c r="I13" s="63"/>
      <c r="J13" s="63"/>
      <c r="AI13"/>
      <c r="AJ13"/>
      <c r="AQ13" s="1"/>
      <c r="AR13" s="1"/>
    </row>
    <row r="14" spans="1:44" ht="15" customHeight="1" x14ac:dyDescent="0.3">
      <c r="A14" s="63"/>
      <c r="B14" s="63"/>
      <c r="C14" s="63"/>
      <c r="D14" s="63"/>
      <c r="E14" s="63"/>
      <c r="F14" s="63"/>
      <c r="G14" s="63"/>
      <c r="H14" s="63"/>
      <c r="I14" s="63"/>
      <c r="J14" s="63"/>
      <c r="AI14"/>
      <c r="AJ14"/>
      <c r="AQ14" s="1"/>
      <c r="AR14" s="1"/>
    </row>
    <row r="15" spans="1:44" ht="15" customHeight="1" x14ac:dyDescent="0.3">
      <c r="A15" s="63"/>
      <c r="B15" s="63"/>
      <c r="C15" s="63"/>
      <c r="D15" s="63"/>
      <c r="E15" s="63"/>
      <c r="F15" s="63"/>
      <c r="G15" s="63"/>
      <c r="H15" s="63"/>
      <c r="I15" s="63"/>
      <c r="J15" s="63"/>
    </row>
    <row r="16" spans="1:44" ht="15" customHeight="1" x14ac:dyDescent="0.3">
      <c r="A16" s="63"/>
      <c r="B16" s="63"/>
      <c r="C16" s="63"/>
      <c r="D16" s="63"/>
      <c r="E16" s="63"/>
      <c r="F16" s="63"/>
      <c r="G16" s="63"/>
      <c r="H16" s="63"/>
      <c r="I16" s="63"/>
      <c r="J16" s="63"/>
    </row>
    <row r="17" spans="1:10" ht="15" customHeight="1" x14ac:dyDescent="0.3">
      <c r="A17" s="63"/>
      <c r="B17" s="63"/>
      <c r="C17" s="63"/>
      <c r="D17" s="63"/>
      <c r="E17" s="63"/>
      <c r="F17" s="63"/>
      <c r="G17" s="63"/>
      <c r="H17" s="63"/>
      <c r="I17" s="63"/>
      <c r="J17" s="63"/>
    </row>
    <row r="18" spans="1:10" ht="15" customHeight="1" x14ac:dyDescent="0.3">
      <c r="A18" s="63"/>
      <c r="B18" s="63"/>
      <c r="C18" s="63"/>
      <c r="D18" s="63"/>
      <c r="E18" s="63"/>
      <c r="F18" s="63"/>
      <c r="G18" s="63"/>
      <c r="H18" s="63"/>
      <c r="I18" s="63"/>
      <c r="J18" s="63"/>
    </row>
    <row r="19" spans="1:10" ht="15" customHeight="1" x14ac:dyDescent="0.3">
      <c r="A19" s="63"/>
      <c r="B19" s="63"/>
      <c r="C19" s="63"/>
      <c r="D19" s="63"/>
      <c r="E19" s="63"/>
      <c r="F19" s="63"/>
      <c r="G19" s="63"/>
      <c r="H19" s="63"/>
      <c r="I19" s="63"/>
      <c r="J19" s="63"/>
    </row>
    <row r="20" spans="1:10" ht="15" customHeight="1" x14ac:dyDescent="0.3">
      <c r="A20" s="63"/>
      <c r="B20" s="63"/>
      <c r="C20" s="63"/>
      <c r="D20" s="63"/>
      <c r="E20" s="63"/>
      <c r="F20" s="63"/>
      <c r="G20" s="63"/>
      <c r="H20" s="63"/>
      <c r="I20" s="63"/>
      <c r="J20" s="63"/>
    </row>
    <row r="21" spans="1:10" ht="15" customHeight="1" x14ac:dyDescent="0.3">
      <c r="A21" s="63"/>
      <c r="B21" s="63"/>
      <c r="C21" s="63"/>
      <c r="D21" s="63"/>
      <c r="E21" s="63"/>
      <c r="F21" s="63"/>
      <c r="G21" s="63"/>
      <c r="H21" s="63"/>
      <c r="I21" s="63"/>
      <c r="J21" s="63"/>
    </row>
    <row r="22" spans="1:10" ht="15" customHeight="1" x14ac:dyDescent="0.3">
      <c r="A22" s="63"/>
      <c r="B22" s="63"/>
      <c r="C22" s="63"/>
      <c r="D22" s="63"/>
      <c r="E22" s="63"/>
      <c r="F22" s="63"/>
      <c r="G22" s="63"/>
      <c r="H22" s="63"/>
      <c r="I22" s="63"/>
      <c r="J22" s="63"/>
    </row>
    <row r="23" spans="1:10" ht="15" customHeight="1" x14ac:dyDescent="0.3">
      <c r="A23" s="63"/>
      <c r="B23" s="63"/>
      <c r="C23" s="63"/>
      <c r="D23" s="63"/>
      <c r="E23" s="63"/>
      <c r="F23" s="63"/>
      <c r="G23" s="63"/>
      <c r="H23" s="63"/>
      <c r="I23" s="63"/>
      <c r="J23" s="63"/>
    </row>
    <row r="24" spans="1:10" ht="15" customHeight="1" x14ac:dyDescent="0.3">
      <c r="A24" s="63"/>
      <c r="B24" s="63"/>
      <c r="C24" s="63"/>
      <c r="D24" s="63"/>
      <c r="E24" s="63"/>
      <c r="F24" s="63"/>
      <c r="G24" s="63"/>
      <c r="H24" s="63"/>
      <c r="I24" s="63"/>
      <c r="J24" s="63"/>
    </row>
    <row r="25" spans="1:10" ht="15" customHeight="1" x14ac:dyDescent="0.3">
      <c r="A25" s="63"/>
      <c r="B25" s="63"/>
      <c r="C25" s="63"/>
      <c r="D25" s="63"/>
      <c r="E25" s="63"/>
      <c r="F25" s="63"/>
      <c r="G25" s="63"/>
      <c r="H25" s="63"/>
      <c r="I25" s="63"/>
      <c r="J25" s="63"/>
    </row>
    <row r="26" spans="1:10" ht="15" customHeight="1" x14ac:dyDescent="0.3">
      <c r="A26" s="63"/>
      <c r="B26" s="63"/>
      <c r="C26" s="63"/>
      <c r="D26" s="63"/>
      <c r="E26" s="63"/>
      <c r="F26" s="63"/>
      <c r="G26" s="63"/>
      <c r="H26" s="63"/>
      <c r="I26" s="63"/>
      <c r="J26" s="63"/>
    </row>
    <row r="27" spans="1:10" ht="15" customHeight="1" x14ac:dyDescent="0.3">
      <c r="A27" s="63"/>
      <c r="B27" s="63"/>
      <c r="C27" s="63"/>
      <c r="D27" s="63"/>
      <c r="E27" s="63"/>
      <c r="F27" s="63"/>
      <c r="G27" s="63"/>
      <c r="H27" s="63"/>
      <c r="I27" s="63"/>
      <c r="J27" s="63"/>
    </row>
    <row r="28" spans="1:10" ht="15" customHeight="1" x14ac:dyDescent="0.3">
      <c r="A28" s="63"/>
      <c r="B28" s="63"/>
      <c r="C28" s="63"/>
      <c r="D28" s="63"/>
      <c r="E28" s="63"/>
      <c r="F28" s="63"/>
      <c r="G28" s="63"/>
      <c r="H28" s="63"/>
      <c r="I28" s="63"/>
      <c r="J28" s="63"/>
    </row>
    <row r="29" spans="1:10" ht="15" customHeight="1" x14ac:dyDescent="0.3">
      <c r="A29" s="63"/>
      <c r="B29" s="63"/>
      <c r="C29" s="63"/>
      <c r="D29" s="63"/>
      <c r="E29" s="63"/>
      <c r="F29" s="63"/>
      <c r="G29" s="63"/>
      <c r="H29" s="63"/>
      <c r="I29" s="63"/>
      <c r="J29" s="63"/>
    </row>
    <row r="30" spans="1:10" ht="15" customHeight="1" x14ac:dyDescent="0.3">
      <c r="A30" s="63"/>
      <c r="B30" s="63"/>
      <c r="C30" s="63"/>
      <c r="D30" s="63"/>
      <c r="E30" s="63"/>
      <c r="F30" s="63"/>
      <c r="G30" s="63"/>
      <c r="H30" s="63"/>
      <c r="I30" s="63"/>
      <c r="J30" s="63"/>
    </row>
    <row r="31" spans="1:10" ht="15" customHeight="1" x14ac:dyDescent="0.3">
      <c r="A31" s="63"/>
      <c r="B31" s="63"/>
      <c r="C31" s="63"/>
      <c r="D31" s="63"/>
      <c r="E31" s="63"/>
      <c r="F31" s="63"/>
      <c r="G31" s="63"/>
      <c r="H31" s="63"/>
      <c r="I31" s="63"/>
      <c r="J31" s="63"/>
    </row>
    <row r="32" spans="1:10" ht="15" customHeight="1" x14ac:dyDescent="0.3">
      <c r="A32" s="63"/>
      <c r="B32" s="63"/>
      <c r="C32" s="63"/>
      <c r="D32" s="63"/>
      <c r="E32" s="63"/>
      <c r="F32" s="63"/>
      <c r="G32" s="63"/>
      <c r="H32" s="63"/>
      <c r="I32" s="63"/>
      <c r="J32" s="63"/>
    </row>
    <row r="33" spans="1:10" ht="15" customHeight="1" x14ac:dyDescent="0.3">
      <c r="A33" s="63"/>
      <c r="B33" s="63"/>
      <c r="C33" s="63"/>
      <c r="D33" s="63"/>
      <c r="E33" s="63"/>
      <c r="F33" s="63"/>
      <c r="G33" s="63"/>
      <c r="H33" s="63"/>
      <c r="I33" s="63"/>
      <c r="J33" s="63"/>
    </row>
    <row r="34" spans="1:10" ht="15" customHeight="1" x14ac:dyDescent="0.3">
      <c r="A34" s="63"/>
      <c r="B34" s="63"/>
      <c r="C34" s="63"/>
      <c r="D34" s="63"/>
      <c r="E34" s="63"/>
      <c r="F34" s="63"/>
      <c r="G34" s="63"/>
      <c r="H34" s="63"/>
      <c r="I34" s="63"/>
      <c r="J34" s="63"/>
    </row>
    <row r="35" spans="1:10" ht="15" customHeight="1" x14ac:dyDescent="0.3">
      <c r="A35" s="63"/>
      <c r="B35" s="63"/>
      <c r="C35" s="63"/>
      <c r="D35" s="63"/>
      <c r="E35" s="63"/>
      <c r="F35" s="63"/>
      <c r="G35" s="63"/>
      <c r="H35" s="63"/>
      <c r="I35" s="63"/>
      <c r="J35" s="63"/>
    </row>
    <row r="36" spans="1:10" ht="15" customHeight="1" x14ac:dyDescent="0.3">
      <c r="A36" s="63"/>
      <c r="B36" s="63"/>
      <c r="C36" s="63"/>
      <c r="D36" s="63"/>
      <c r="E36" s="63"/>
      <c r="F36" s="63"/>
      <c r="G36" s="63"/>
      <c r="H36" s="63"/>
      <c r="I36" s="63"/>
      <c r="J36" s="63"/>
    </row>
    <row r="37" spans="1:10" ht="15" customHeight="1" x14ac:dyDescent="0.3">
      <c r="A37" s="63"/>
      <c r="B37" s="63"/>
      <c r="C37" s="63"/>
      <c r="D37" s="63"/>
      <c r="E37" s="63"/>
      <c r="F37" s="63"/>
      <c r="G37" s="63"/>
      <c r="H37" s="63"/>
      <c r="I37" s="63"/>
      <c r="J37" s="63"/>
    </row>
    <row r="38" spans="1:10" ht="15" customHeight="1" x14ac:dyDescent="0.3">
      <c r="A38" s="63"/>
      <c r="B38" s="63"/>
      <c r="C38" s="63"/>
      <c r="D38" s="63"/>
      <c r="E38" s="63"/>
      <c r="F38" s="63"/>
      <c r="G38" s="63"/>
      <c r="H38" s="63"/>
      <c r="I38" s="63"/>
      <c r="J38" s="63"/>
    </row>
    <row r="39" spans="1:10" ht="15" customHeight="1" x14ac:dyDescent="0.3">
      <c r="A39" s="63"/>
      <c r="B39" s="63"/>
      <c r="C39" s="63"/>
      <c r="D39" s="63"/>
      <c r="E39" s="63"/>
      <c r="F39" s="63"/>
      <c r="G39" s="63"/>
      <c r="H39" s="63"/>
      <c r="I39" s="63"/>
      <c r="J39" s="63"/>
    </row>
    <row r="40" spans="1:10" ht="15" customHeight="1" x14ac:dyDescent="0.3">
      <c r="A40" s="63"/>
      <c r="B40" s="63"/>
      <c r="C40" s="63"/>
      <c r="D40" s="63"/>
      <c r="E40" s="63"/>
      <c r="F40" s="63"/>
      <c r="G40" s="63"/>
      <c r="H40" s="63"/>
      <c r="I40" s="63"/>
      <c r="J40" s="63"/>
    </row>
    <row r="41" spans="1:10" ht="15" customHeight="1" x14ac:dyDescent="0.3">
      <c r="A41" s="63"/>
      <c r="B41" s="63"/>
      <c r="C41" s="63"/>
      <c r="D41" s="63"/>
      <c r="E41" s="63"/>
      <c r="F41" s="63"/>
      <c r="G41" s="63"/>
      <c r="H41" s="63"/>
      <c r="I41" s="63"/>
      <c r="J41" s="63"/>
    </row>
    <row r="42" spans="1:10" ht="15" customHeight="1" x14ac:dyDescent="0.3">
      <c r="A42" s="63"/>
      <c r="B42" s="63"/>
      <c r="C42" s="63"/>
      <c r="D42" s="63"/>
      <c r="E42" s="63"/>
      <c r="F42" s="63"/>
      <c r="G42" s="63"/>
      <c r="H42" s="63"/>
      <c r="I42" s="63"/>
      <c r="J42" s="63"/>
    </row>
    <row r="43" spans="1:10" ht="15" customHeight="1" x14ac:dyDescent="0.3">
      <c r="A43" s="63"/>
      <c r="B43" s="63"/>
      <c r="C43" s="63"/>
      <c r="D43" s="63"/>
      <c r="E43" s="63"/>
      <c r="F43" s="63"/>
      <c r="G43" s="63"/>
      <c r="H43" s="63"/>
      <c r="I43" s="63"/>
      <c r="J43" s="63"/>
    </row>
    <row r="44" spans="1:10" ht="15" customHeight="1" x14ac:dyDescent="0.3">
      <c r="A44" s="63"/>
      <c r="B44" s="63"/>
      <c r="C44" s="63"/>
      <c r="D44" s="63"/>
      <c r="E44" s="63"/>
      <c r="F44" s="63"/>
      <c r="G44" s="63"/>
      <c r="H44" s="63"/>
      <c r="I44" s="63"/>
      <c r="J44" s="63"/>
    </row>
    <row r="45" spans="1:10" ht="15" customHeight="1" x14ac:dyDescent="0.3">
      <c r="A45" s="63"/>
      <c r="B45" s="63"/>
      <c r="C45" s="63"/>
      <c r="D45" s="63"/>
      <c r="E45" s="63"/>
      <c r="F45" s="63"/>
      <c r="G45" s="63"/>
      <c r="H45" s="63"/>
      <c r="I45" s="63"/>
      <c r="J45" s="63"/>
    </row>
    <row r="46" spans="1:10" ht="15" customHeight="1" x14ac:dyDescent="0.3">
      <c r="A46" s="63"/>
      <c r="B46" s="63"/>
      <c r="C46" s="63"/>
      <c r="D46" s="63"/>
      <c r="E46" s="63"/>
      <c r="F46" s="63"/>
      <c r="G46" s="63"/>
      <c r="H46" s="63"/>
      <c r="I46" s="63"/>
      <c r="J46" s="63"/>
    </row>
    <row r="47" spans="1:10" ht="15" customHeight="1" x14ac:dyDescent="0.3">
      <c r="A47" s="63"/>
      <c r="B47" s="63"/>
      <c r="C47" s="63"/>
      <c r="D47" s="63"/>
      <c r="E47" s="63"/>
      <c r="F47" s="63"/>
      <c r="G47" s="63"/>
      <c r="H47" s="63"/>
      <c r="I47" s="63"/>
      <c r="J47" s="63"/>
    </row>
    <row r="48" spans="1:10" ht="15" customHeight="1" x14ac:dyDescent="0.3">
      <c r="A48" s="63"/>
      <c r="B48" s="63"/>
      <c r="C48" s="63"/>
      <c r="D48" s="63"/>
      <c r="E48" s="63"/>
      <c r="F48" s="63"/>
      <c r="G48" s="63"/>
      <c r="H48" s="63"/>
      <c r="I48" s="63"/>
      <c r="J48" s="63"/>
    </row>
    <row r="49" spans="1:10" ht="15" customHeight="1" x14ac:dyDescent="0.3">
      <c r="A49" s="27"/>
      <c r="B49" s="27"/>
      <c r="C49" s="27"/>
      <c r="D49" s="27"/>
      <c r="E49" s="27"/>
      <c r="F49" s="27"/>
      <c r="G49" s="27"/>
      <c r="H49" s="27"/>
      <c r="I49" s="27"/>
    </row>
    <row r="50" spans="1:10" ht="16.2" x14ac:dyDescent="0.35">
      <c r="A50" s="2" t="s">
        <v>122</v>
      </c>
    </row>
    <row r="51" spans="1:10" ht="15" customHeight="1" x14ac:dyDescent="0.3">
      <c r="A51" s="61" t="s">
        <v>88</v>
      </c>
      <c r="B51" s="61"/>
      <c r="C51" s="61"/>
      <c r="D51" s="61"/>
      <c r="E51" s="61"/>
      <c r="F51" s="61"/>
      <c r="G51" s="61"/>
      <c r="H51" s="61"/>
      <c r="I51" s="61"/>
      <c r="J51" s="61"/>
    </row>
    <row r="52" spans="1:10" ht="15" customHeight="1" x14ac:dyDescent="0.3">
      <c r="A52" s="61"/>
      <c r="B52" s="61"/>
      <c r="C52" s="61"/>
      <c r="D52" s="61"/>
      <c r="E52" s="61"/>
      <c r="F52" s="61"/>
      <c r="G52" s="61"/>
      <c r="H52" s="61"/>
      <c r="I52" s="61"/>
      <c r="J52" s="61"/>
    </row>
    <row r="69" spans="1:10" x14ac:dyDescent="0.3">
      <c r="A69" s="3" t="s">
        <v>0</v>
      </c>
      <c r="B69" s="3">
        <v>2010</v>
      </c>
      <c r="C69" s="3">
        <f>B69+1</f>
        <v>2011</v>
      </c>
      <c r="D69" s="3">
        <f t="shared" ref="D69:J69" si="0">C69+1</f>
        <v>2012</v>
      </c>
      <c r="E69" s="3">
        <f t="shared" si="0"/>
        <v>2013</v>
      </c>
      <c r="F69" s="3">
        <f t="shared" si="0"/>
        <v>2014</v>
      </c>
      <c r="G69" s="3">
        <f t="shared" si="0"/>
        <v>2015</v>
      </c>
      <c r="H69" s="3">
        <f t="shared" si="0"/>
        <v>2016</v>
      </c>
      <c r="I69" s="3">
        <f t="shared" si="0"/>
        <v>2017</v>
      </c>
      <c r="J69" s="3">
        <f t="shared" si="0"/>
        <v>2018</v>
      </c>
    </row>
    <row r="70" spans="1:10" x14ac:dyDescent="0.3">
      <c r="A70" s="9" t="s">
        <v>2</v>
      </c>
      <c r="B70" s="3">
        <f>SUM(Calculate!C8:C9)</f>
        <v>0</v>
      </c>
      <c r="C70" s="3">
        <f>SUM(Calculate!D8:D9)</f>
        <v>0</v>
      </c>
      <c r="D70" s="3">
        <f>SUM(Calculate!E8:E9)</f>
        <v>0</v>
      </c>
      <c r="E70" s="3">
        <f>SUM(Calculate!F8:F9)</f>
        <v>0</v>
      </c>
      <c r="F70" s="3">
        <f>SUM(Calculate!G8:G9)</f>
        <v>1</v>
      </c>
      <c r="G70" s="3">
        <f>SUM(Calculate!H8:H9)</f>
        <v>38</v>
      </c>
      <c r="H70" s="3">
        <f>SUM(Calculate!I8:I9)</f>
        <v>54</v>
      </c>
      <c r="I70" s="3">
        <f>SUM(Calculate!J8:J9)</f>
        <v>1</v>
      </c>
      <c r="J70" s="3">
        <f>SUM(Calculate!K8:K9)</f>
        <v>0</v>
      </c>
    </row>
    <row r="71" spans="1:10" x14ac:dyDescent="0.3">
      <c r="A71" s="1" t="s">
        <v>73</v>
      </c>
      <c r="B71" s="71" t="s">
        <v>74</v>
      </c>
      <c r="C71" s="71"/>
      <c r="D71" s="1">
        <f>Calculate!S9</f>
        <v>65</v>
      </c>
      <c r="E71" s="1" t="s">
        <v>44</v>
      </c>
      <c r="F71" s="71" t="s">
        <v>75</v>
      </c>
      <c r="G71" s="71"/>
      <c r="H71" s="1">
        <f>Calculate!S8</f>
        <v>29</v>
      </c>
      <c r="I71" s="1" t="s">
        <v>44</v>
      </c>
    </row>
    <row r="72" spans="1:10" x14ac:dyDescent="0.3">
      <c r="B72" s="29"/>
      <c r="C72" s="29"/>
      <c r="D72" s="44">
        <f>D71/(D71+H71)</f>
        <v>0.69148936170212771</v>
      </c>
      <c r="H72" s="45">
        <f>H71/(D71+H71)</f>
        <v>0.30851063829787234</v>
      </c>
    </row>
    <row r="73" spans="1:10" ht="15.75" customHeight="1" x14ac:dyDescent="0.3">
      <c r="A73" s="64" t="s">
        <v>127</v>
      </c>
      <c r="B73" s="64"/>
      <c r="C73" s="64"/>
      <c r="D73" s="64"/>
      <c r="E73" s="64"/>
      <c r="F73" s="64"/>
      <c r="G73" s="64"/>
      <c r="H73" s="64"/>
      <c r="I73" s="64"/>
      <c r="J73" s="64"/>
    </row>
    <row r="75" spans="1:10" ht="15" customHeight="1" x14ac:dyDescent="0.3">
      <c r="A75" s="61" t="s">
        <v>93</v>
      </c>
      <c r="B75" s="61"/>
      <c r="C75" s="61"/>
      <c r="D75" s="61"/>
      <c r="E75" s="61"/>
      <c r="F75" s="61"/>
      <c r="G75" s="61"/>
      <c r="H75" s="61"/>
      <c r="I75" s="61"/>
      <c r="J75" s="61"/>
    </row>
    <row r="76" spans="1:10" ht="15" customHeight="1" x14ac:dyDescent="0.3">
      <c r="A76" s="61"/>
      <c r="B76" s="61"/>
      <c r="C76" s="61"/>
      <c r="D76" s="61"/>
      <c r="E76" s="61"/>
      <c r="F76" s="61"/>
      <c r="G76" s="61"/>
      <c r="H76" s="61"/>
      <c r="I76" s="61"/>
      <c r="J76" s="61"/>
    </row>
    <row r="93" spans="1:10" x14ac:dyDescent="0.3">
      <c r="A93" s="3" t="s">
        <v>0</v>
      </c>
      <c r="B93" s="3">
        <v>2010</v>
      </c>
      <c r="C93" s="3">
        <f>B93+1</f>
        <v>2011</v>
      </c>
      <c r="D93" s="3">
        <f t="shared" ref="D93:J93" si="1">C93+1</f>
        <v>2012</v>
      </c>
      <c r="E93" s="3">
        <f t="shared" si="1"/>
        <v>2013</v>
      </c>
      <c r="F93" s="3">
        <f t="shared" si="1"/>
        <v>2014</v>
      </c>
      <c r="G93" s="3">
        <f t="shared" si="1"/>
        <v>2015</v>
      </c>
      <c r="H93" s="3">
        <f t="shared" si="1"/>
        <v>2016</v>
      </c>
      <c r="I93" s="3">
        <f t="shared" si="1"/>
        <v>2017</v>
      </c>
      <c r="J93" s="3">
        <f t="shared" si="1"/>
        <v>2018</v>
      </c>
    </row>
    <row r="94" spans="1:10" x14ac:dyDescent="0.3">
      <c r="A94" s="69" t="s">
        <v>3</v>
      </c>
      <c r="B94" s="3">
        <f>Calculate!BD3</f>
        <v>0</v>
      </c>
      <c r="C94" s="3">
        <f>Calculate!BD4</f>
        <v>0</v>
      </c>
      <c r="D94" s="3">
        <f>Calculate!BD5</f>
        <v>0</v>
      </c>
      <c r="E94" s="3">
        <f>Calculate!BD6</f>
        <v>0</v>
      </c>
      <c r="F94" s="3">
        <f>Calculate!BD7</f>
        <v>1</v>
      </c>
      <c r="G94" s="3">
        <f>Calculate!BD8</f>
        <v>4</v>
      </c>
      <c r="H94" s="3">
        <f>Calculate!BD9</f>
        <v>1</v>
      </c>
      <c r="I94" s="3">
        <f>Calculate!BD10</f>
        <v>1</v>
      </c>
      <c r="J94" s="3">
        <f>Calculate!BD11</f>
        <v>0</v>
      </c>
    </row>
    <row r="95" spans="1:10" x14ac:dyDescent="0.3">
      <c r="A95" s="70"/>
      <c r="B95" s="50">
        <f t="shared" ref="B95:J95" si="2">IFERROR(B94/(B94+B96),0)</f>
        <v>0</v>
      </c>
      <c r="C95" s="50">
        <f t="shared" si="2"/>
        <v>0</v>
      </c>
      <c r="D95" s="50">
        <f t="shared" si="2"/>
        <v>0</v>
      </c>
      <c r="E95" s="50">
        <f t="shared" si="2"/>
        <v>0</v>
      </c>
      <c r="F95" s="50">
        <f t="shared" si="2"/>
        <v>1</v>
      </c>
      <c r="G95" s="50">
        <f t="shared" si="2"/>
        <v>0.10526315789473684</v>
      </c>
      <c r="H95" s="50">
        <f t="shared" si="2"/>
        <v>1.8518518518518517E-2</v>
      </c>
      <c r="I95" s="50">
        <f t="shared" si="2"/>
        <v>1</v>
      </c>
      <c r="J95" s="50">
        <f t="shared" si="2"/>
        <v>0</v>
      </c>
    </row>
    <row r="96" spans="1:10" x14ac:dyDescent="0.3">
      <c r="A96" s="69" t="s">
        <v>4</v>
      </c>
      <c r="B96" s="3">
        <f>Calculate!BE3</f>
        <v>0</v>
      </c>
      <c r="C96" s="3">
        <f>Calculate!BE4</f>
        <v>0</v>
      </c>
      <c r="D96" s="3">
        <f>Calculate!BE5</f>
        <v>0</v>
      </c>
      <c r="E96" s="3">
        <f>Calculate!BE6</f>
        <v>0</v>
      </c>
      <c r="F96" s="3">
        <f>Calculate!BE7</f>
        <v>0</v>
      </c>
      <c r="G96" s="3">
        <f>Calculate!BE8</f>
        <v>34</v>
      </c>
      <c r="H96" s="3">
        <f>Calculate!BE9</f>
        <v>53</v>
      </c>
      <c r="I96" s="3">
        <f>Calculate!BE10</f>
        <v>0</v>
      </c>
      <c r="J96" s="3">
        <f>Calculate!BE11</f>
        <v>0</v>
      </c>
    </row>
    <row r="97" spans="1:10" x14ac:dyDescent="0.3">
      <c r="A97" s="70"/>
      <c r="B97" s="50">
        <f t="shared" ref="B97:J97" si="3">IFERROR(B96/(B94+B96),0)</f>
        <v>0</v>
      </c>
      <c r="C97" s="50">
        <f t="shared" si="3"/>
        <v>0</v>
      </c>
      <c r="D97" s="50">
        <f t="shared" si="3"/>
        <v>0</v>
      </c>
      <c r="E97" s="50">
        <f t="shared" si="3"/>
        <v>0</v>
      </c>
      <c r="F97" s="50">
        <f t="shared" si="3"/>
        <v>0</v>
      </c>
      <c r="G97" s="50">
        <f t="shared" si="3"/>
        <v>0.89473684210526316</v>
      </c>
      <c r="H97" s="50">
        <f t="shared" si="3"/>
        <v>0.98148148148148151</v>
      </c>
      <c r="I97" s="50">
        <f t="shared" si="3"/>
        <v>0</v>
      </c>
      <c r="J97" s="50">
        <f t="shared" si="3"/>
        <v>0</v>
      </c>
    </row>
    <row r="98" spans="1:10" ht="15" customHeight="1" x14ac:dyDescent="0.3">
      <c r="A98" s="1" t="s">
        <v>5</v>
      </c>
    </row>
    <row r="99" spans="1:10" ht="15.75" customHeight="1" x14ac:dyDescent="0.3">
      <c r="A99" s="64" t="s">
        <v>128</v>
      </c>
      <c r="B99" s="64"/>
      <c r="C99" s="64"/>
      <c r="D99" s="64"/>
      <c r="E99" s="64"/>
      <c r="F99" s="64"/>
      <c r="G99" s="64"/>
      <c r="H99" s="64"/>
      <c r="I99" s="64"/>
      <c r="J99" s="64"/>
    </row>
    <row r="100" spans="1:10" ht="15.75" customHeight="1" x14ac:dyDescent="0.3">
      <c r="A100" s="66" t="s">
        <v>239</v>
      </c>
      <c r="B100" s="66"/>
      <c r="C100" s="66"/>
      <c r="D100" s="66"/>
      <c r="E100" s="66"/>
      <c r="F100" s="66"/>
      <c r="G100" s="66"/>
      <c r="H100" s="66"/>
      <c r="I100" s="66"/>
      <c r="J100" s="66"/>
    </row>
    <row r="101" spans="1:10" ht="15.75" customHeight="1" x14ac:dyDescent="0.3">
      <c r="A101" s="66"/>
      <c r="B101" s="66"/>
      <c r="C101" s="66"/>
      <c r="D101" s="66"/>
      <c r="E101" s="66"/>
      <c r="F101" s="66"/>
      <c r="G101" s="66"/>
      <c r="H101" s="66"/>
      <c r="I101" s="66"/>
      <c r="J101" s="66"/>
    </row>
    <row r="102" spans="1:10" ht="15" customHeight="1" x14ac:dyDescent="0.3">
      <c r="A102" s="61" t="s">
        <v>99</v>
      </c>
      <c r="B102" s="61"/>
      <c r="C102" s="61"/>
      <c r="D102" s="61"/>
      <c r="E102" s="61"/>
      <c r="F102" s="61"/>
      <c r="G102" s="61"/>
      <c r="H102" s="61"/>
      <c r="I102" s="61"/>
      <c r="J102" s="61"/>
    </row>
    <row r="103" spans="1:10" ht="15" customHeight="1" x14ac:dyDescent="0.3">
      <c r="A103" s="61"/>
      <c r="B103" s="61"/>
      <c r="C103" s="61"/>
      <c r="D103" s="61"/>
      <c r="E103" s="61"/>
      <c r="F103" s="61"/>
      <c r="G103" s="61"/>
      <c r="H103" s="61"/>
      <c r="I103" s="61"/>
      <c r="J103" s="61"/>
    </row>
    <row r="104" spans="1:10" ht="15.75" customHeight="1" x14ac:dyDescent="0.3">
      <c r="A104" s="61"/>
      <c r="B104" s="61"/>
      <c r="C104" s="61"/>
      <c r="D104" s="61"/>
      <c r="E104" s="61"/>
      <c r="F104" s="61"/>
      <c r="G104" s="61"/>
      <c r="H104" s="61"/>
      <c r="I104" s="61"/>
      <c r="J104" s="61"/>
    </row>
    <row r="122" spans="1:10" ht="15.75" customHeight="1" x14ac:dyDescent="0.3">
      <c r="A122" s="64" t="s">
        <v>240</v>
      </c>
      <c r="B122" s="64"/>
      <c r="C122" s="64"/>
      <c r="D122" s="64"/>
      <c r="E122" s="64"/>
      <c r="F122" s="64"/>
      <c r="G122" s="64"/>
      <c r="H122" s="64"/>
      <c r="I122" s="64"/>
      <c r="J122" s="64"/>
    </row>
    <row r="123" spans="1:10" ht="15" customHeight="1" x14ac:dyDescent="0.3">
      <c r="A123" s="64"/>
      <c r="B123" s="64"/>
      <c r="C123" s="64"/>
      <c r="D123" s="64"/>
      <c r="E123" s="64"/>
      <c r="F123" s="64"/>
      <c r="G123" s="64"/>
      <c r="H123" s="64"/>
      <c r="I123" s="64"/>
      <c r="J123" s="64"/>
    </row>
    <row r="125" spans="1:10" ht="15" customHeight="1" x14ac:dyDescent="0.3">
      <c r="A125" s="61" t="s">
        <v>111</v>
      </c>
      <c r="B125" s="61"/>
      <c r="C125" s="61"/>
      <c r="D125" s="61"/>
      <c r="E125" s="61"/>
      <c r="F125" s="61"/>
      <c r="G125" s="61"/>
      <c r="H125" s="61"/>
      <c r="I125" s="61"/>
      <c r="J125" s="61"/>
    </row>
    <row r="126" spans="1:10" ht="15" customHeight="1" x14ac:dyDescent="0.3">
      <c r="A126" s="61"/>
      <c r="B126" s="61"/>
      <c r="C126" s="61"/>
      <c r="D126" s="61"/>
      <c r="E126" s="61"/>
      <c r="F126" s="61"/>
      <c r="G126" s="61"/>
      <c r="H126" s="61"/>
      <c r="I126" s="61"/>
      <c r="J126" s="61"/>
    </row>
    <row r="127" spans="1:10" ht="15" customHeight="1" x14ac:dyDescent="0.3">
      <c r="A127" s="61"/>
      <c r="B127" s="61"/>
      <c r="C127" s="61"/>
      <c r="D127" s="61"/>
      <c r="E127" s="61"/>
      <c r="F127" s="61"/>
      <c r="G127" s="61"/>
      <c r="H127" s="61"/>
      <c r="I127" s="61"/>
      <c r="J127" s="61"/>
    </row>
    <row r="128" spans="1:10" ht="15" customHeight="1" x14ac:dyDescent="0.3">
      <c r="A128" s="61"/>
      <c r="B128" s="61"/>
      <c r="C128" s="61"/>
      <c r="D128" s="61"/>
      <c r="E128" s="61"/>
      <c r="F128" s="61"/>
      <c r="G128" s="61"/>
      <c r="H128" s="61"/>
      <c r="I128" s="61"/>
      <c r="J128" s="61"/>
    </row>
    <row r="129" spans="1:9" ht="15" customHeight="1" x14ac:dyDescent="0.3">
      <c r="A129" s="6"/>
      <c r="B129" s="6"/>
      <c r="C129" s="6"/>
      <c r="D129" s="6"/>
      <c r="E129" s="6"/>
      <c r="F129" s="6"/>
      <c r="G129" s="6"/>
      <c r="H129" s="6"/>
      <c r="I129" s="6"/>
    </row>
    <row r="146" spans="1:10" ht="15.75" customHeight="1" x14ac:dyDescent="0.3">
      <c r="A146" s="64" t="s">
        <v>241</v>
      </c>
      <c r="B146" s="64"/>
      <c r="C146" s="64"/>
      <c r="D146" s="64"/>
      <c r="E146" s="64"/>
      <c r="F146" s="64"/>
      <c r="G146" s="64"/>
      <c r="H146" s="64"/>
      <c r="I146" s="64"/>
      <c r="J146" s="64"/>
    </row>
    <row r="147" spans="1:10" ht="15" customHeight="1" x14ac:dyDescent="0.3">
      <c r="A147" s="64"/>
      <c r="B147" s="64"/>
      <c r="C147" s="64"/>
      <c r="D147" s="64"/>
      <c r="E147" s="64"/>
      <c r="F147" s="64"/>
      <c r="G147" s="64"/>
      <c r="H147" s="64"/>
      <c r="I147" s="64"/>
      <c r="J147" s="64"/>
    </row>
    <row r="150" spans="1:10" ht="15.6" x14ac:dyDescent="0.3">
      <c r="A150" s="2" t="s">
        <v>53</v>
      </c>
    </row>
    <row r="151" spans="1:10" ht="15" customHeight="1" x14ac:dyDescent="0.3">
      <c r="A151" s="61" t="s">
        <v>175</v>
      </c>
      <c r="B151" s="61"/>
      <c r="C151" s="61"/>
      <c r="D151" s="61"/>
      <c r="E151" s="61"/>
      <c r="F151" s="61"/>
      <c r="G151" s="61"/>
      <c r="H151" s="61"/>
      <c r="I151" s="61"/>
      <c r="J151" s="61"/>
    </row>
    <row r="152" spans="1:10" ht="15" customHeight="1" x14ac:dyDescent="0.3">
      <c r="A152" s="61"/>
      <c r="B152" s="61"/>
      <c r="C152" s="61"/>
      <c r="D152" s="61"/>
      <c r="E152" s="61"/>
      <c r="F152" s="61"/>
      <c r="G152" s="61"/>
      <c r="H152" s="61"/>
      <c r="I152" s="61"/>
      <c r="J152" s="61"/>
    </row>
    <row r="168" spans="1:10" x14ac:dyDescent="0.3">
      <c r="A168" s="3" t="s">
        <v>0</v>
      </c>
      <c r="B168" s="3">
        <v>2010</v>
      </c>
      <c r="C168" s="3">
        <f>B168+1</f>
        <v>2011</v>
      </c>
      <c r="D168" s="3">
        <f t="shared" ref="D168:J168" si="4">C168+1</f>
        <v>2012</v>
      </c>
      <c r="E168" s="3">
        <f t="shared" si="4"/>
        <v>2013</v>
      </c>
      <c r="F168" s="3">
        <f t="shared" si="4"/>
        <v>2014</v>
      </c>
      <c r="G168" s="3">
        <f t="shared" si="4"/>
        <v>2015</v>
      </c>
      <c r="H168" s="3">
        <f t="shared" si="4"/>
        <v>2016</v>
      </c>
      <c r="I168" s="3">
        <f t="shared" si="4"/>
        <v>2017</v>
      </c>
      <c r="J168" s="3">
        <f t="shared" si="4"/>
        <v>2018</v>
      </c>
    </row>
    <row r="169" spans="1:10" x14ac:dyDescent="0.3">
      <c r="A169" s="8" t="s">
        <v>49</v>
      </c>
      <c r="B169" s="3">
        <f>Calculate!C70</f>
        <v>0</v>
      </c>
      <c r="C169" s="3">
        <f>Calculate!D70</f>
        <v>0</v>
      </c>
      <c r="D169" s="3">
        <f>Calculate!E70</f>
        <v>0</v>
      </c>
      <c r="E169" s="3">
        <f>Calculate!F70</f>
        <v>0</v>
      </c>
      <c r="F169" s="3">
        <f>Calculate!G70</f>
        <v>0</v>
      </c>
      <c r="G169" s="3">
        <f>Calculate!H70</f>
        <v>30</v>
      </c>
      <c r="H169" s="3">
        <f>Calculate!I70</f>
        <v>36</v>
      </c>
      <c r="I169" s="3">
        <f>Calculate!J70</f>
        <v>0</v>
      </c>
      <c r="J169" s="3">
        <f>Calculate!K70</f>
        <v>0</v>
      </c>
    </row>
    <row r="170" spans="1:10" x14ac:dyDescent="0.3">
      <c r="A170" s="1" t="s">
        <v>1</v>
      </c>
      <c r="B170" s="71" t="s">
        <v>76</v>
      </c>
      <c r="C170" s="71"/>
      <c r="D170" s="1">
        <f>SUM(Calculate!C70:R70)</f>
        <v>66</v>
      </c>
      <c r="E170" s="1" t="s">
        <v>44</v>
      </c>
    </row>
    <row r="171" spans="1:10" ht="15.75" customHeight="1" x14ac:dyDescent="0.3">
      <c r="A171" s="64" t="s">
        <v>129</v>
      </c>
      <c r="B171" s="64"/>
      <c r="C171" s="64"/>
      <c r="D171" s="64"/>
      <c r="E171" s="64"/>
      <c r="F171" s="64"/>
      <c r="G171" s="64"/>
      <c r="H171" s="64"/>
      <c r="I171" s="64"/>
      <c r="J171" s="64"/>
    </row>
    <row r="172" spans="1:10" ht="15.6" x14ac:dyDescent="0.3">
      <c r="A172" s="7"/>
      <c r="B172" s="7"/>
      <c r="C172" s="7"/>
      <c r="D172" s="7"/>
      <c r="E172" s="7"/>
      <c r="F172" s="7"/>
      <c r="G172" s="7"/>
      <c r="H172" s="7"/>
      <c r="I172" s="7"/>
    </row>
    <row r="173" spans="1:10" ht="15" customHeight="1" x14ac:dyDescent="0.3">
      <c r="A173" s="61" t="s">
        <v>184</v>
      </c>
      <c r="B173" s="61"/>
      <c r="C173" s="61"/>
      <c r="D173" s="61"/>
      <c r="E173" s="61"/>
      <c r="F173" s="61"/>
      <c r="G173" s="61"/>
      <c r="H173" s="61"/>
      <c r="I173" s="61"/>
      <c r="J173" s="61"/>
    </row>
    <row r="174" spans="1:10" ht="15" customHeight="1" x14ac:dyDescent="0.3">
      <c r="A174" s="61"/>
      <c r="B174" s="61"/>
      <c r="C174" s="61"/>
      <c r="D174" s="61"/>
      <c r="E174" s="61"/>
      <c r="F174" s="61"/>
      <c r="G174" s="61"/>
      <c r="H174" s="61"/>
      <c r="I174" s="61"/>
      <c r="J174" s="61"/>
    </row>
    <row r="175" spans="1:10" ht="15" customHeight="1" x14ac:dyDescent="0.3">
      <c r="A175" s="61"/>
      <c r="B175" s="61"/>
      <c r="C175" s="61"/>
      <c r="D175" s="61"/>
      <c r="E175" s="61"/>
      <c r="F175" s="61"/>
      <c r="G175" s="61"/>
      <c r="H175" s="61"/>
      <c r="I175" s="61"/>
      <c r="J175" s="61"/>
    </row>
    <row r="176" spans="1:10" ht="15" customHeight="1" x14ac:dyDescent="0.3">
      <c r="A176" s="61"/>
      <c r="B176" s="61"/>
      <c r="C176" s="61"/>
      <c r="D176" s="61"/>
      <c r="E176" s="61"/>
      <c r="F176" s="61"/>
      <c r="G176" s="61"/>
      <c r="H176" s="61"/>
      <c r="I176" s="61"/>
      <c r="J176" s="61"/>
    </row>
    <row r="194" spans="1:44" x14ac:dyDescent="0.3">
      <c r="A194" s="3" t="s">
        <v>0</v>
      </c>
      <c r="B194" s="3">
        <v>2010</v>
      </c>
      <c r="C194" s="3">
        <f>B194+1</f>
        <v>2011</v>
      </c>
      <c r="D194" s="3">
        <f t="shared" ref="D194:J194" si="5">C194+1</f>
        <v>2012</v>
      </c>
      <c r="E194" s="3">
        <f t="shared" si="5"/>
        <v>2013</v>
      </c>
      <c r="F194" s="3">
        <f t="shared" si="5"/>
        <v>2014</v>
      </c>
      <c r="G194" s="3">
        <f t="shared" si="5"/>
        <v>2015</v>
      </c>
      <c r="H194" s="3">
        <f t="shared" si="5"/>
        <v>2016</v>
      </c>
      <c r="I194" s="3">
        <f t="shared" si="5"/>
        <v>2017</v>
      </c>
      <c r="J194" s="3">
        <f t="shared" si="5"/>
        <v>2018</v>
      </c>
    </row>
    <row r="195" spans="1:44" s="4" customFormat="1" x14ac:dyDescent="0.3">
      <c r="A195" s="72" t="s">
        <v>6</v>
      </c>
      <c r="B195" s="67">
        <f>Calculate!C89</f>
        <v>0</v>
      </c>
      <c r="C195" s="67">
        <f>Calculate!D89</f>
        <v>0</v>
      </c>
      <c r="D195" s="67">
        <f>Calculate!E89</f>
        <v>0</v>
      </c>
      <c r="E195" s="67">
        <f>Calculate!F89</f>
        <v>0</v>
      </c>
      <c r="F195" s="67">
        <f>Calculate!G89</f>
        <v>0</v>
      </c>
      <c r="G195" s="67">
        <f>Calculate!H89</f>
        <v>0</v>
      </c>
      <c r="H195" s="67">
        <f>Calculate!I89</f>
        <v>0</v>
      </c>
      <c r="I195" s="67">
        <f>Calculate!J89</f>
        <v>0</v>
      </c>
      <c r="J195" s="67">
        <f>Calculate!K89</f>
        <v>0</v>
      </c>
      <c r="AQ195" s="5"/>
      <c r="AR195" s="5"/>
    </row>
    <row r="196" spans="1:44" x14ac:dyDescent="0.3">
      <c r="A196" s="72"/>
      <c r="B196" s="67"/>
      <c r="C196" s="67"/>
      <c r="D196" s="67"/>
      <c r="E196" s="67"/>
      <c r="F196" s="67"/>
      <c r="G196" s="67"/>
      <c r="H196" s="67"/>
      <c r="I196" s="67"/>
      <c r="J196" s="67"/>
    </row>
    <row r="197" spans="1:44" x14ac:dyDescent="0.3">
      <c r="A197" s="1" t="s">
        <v>7</v>
      </c>
    </row>
    <row r="198" spans="1:44" ht="15.75" customHeight="1" x14ac:dyDescent="0.3">
      <c r="A198" s="64" t="s">
        <v>130</v>
      </c>
      <c r="B198" s="64"/>
      <c r="C198" s="64"/>
      <c r="D198" s="64"/>
      <c r="E198" s="64"/>
      <c r="F198" s="64"/>
      <c r="G198" s="64"/>
      <c r="H198" s="64"/>
      <c r="I198" s="64"/>
      <c r="J198" s="64"/>
    </row>
    <row r="200" spans="1:44" ht="15.75" customHeight="1" x14ac:dyDescent="0.3">
      <c r="A200" s="68" t="s">
        <v>100</v>
      </c>
      <c r="B200" s="68"/>
      <c r="C200" s="68"/>
      <c r="D200" s="68"/>
      <c r="E200" s="68"/>
      <c r="F200" s="68"/>
      <c r="G200" s="68"/>
      <c r="H200" s="68"/>
      <c r="I200" s="68"/>
      <c r="J200" s="68"/>
      <c r="AH200"/>
      <c r="AI200"/>
      <c r="AQ200" s="1"/>
      <c r="AR200" s="1"/>
    </row>
    <row r="201" spans="1:44" ht="15" customHeight="1" x14ac:dyDescent="0.3">
      <c r="A201" s="68"/>
      <c r="B201" s="68"/>
      <c r="C201" s="68"/>
      <c r="D201" s="68"/>
      <c r="E201" s="68"/>
      <c r="F201" s="68"/>
      <c r="G201" s="68"/>
      <c r="H201" s="68"/>
      <c r="I201" s="68"/>
      <c r="J201" s="68"/>
      <c r="AH201"/>
      <c r="AI201"/>
      <c r="AQ201" s="1"/>
      <c r="AR201" s="1"/>
    </row>
    <row r="202" spans="1:44" x14ac:dyDescent="0.3">
      <c r="AH202"/>
      <c r="AI202"/>
      <c r="AQ202" s="1"/>
      <c r="AR202" s="1"/>
    </row>
    <row r="203" spans="1:44" x14ac:dyDescent="0.3">
      <c r="AH203"/>
      <c r="AI203"/>
      <c r="AQ203" s="1"/>
      <c r="AR203" s="1"/>
    </row>
    <row r="204" spans="1:44" x14ac:dyDescent="0.3">
      <c r="AH204"/>
      <c r="AI204"/>
      <c r="AQ204" s="1"/>
      <c r="AR204" s="1"/>
    </row>
    <row r="205" spans="1:44" x14ac:dyDescent="0.3">
      <c r="AH205"/>
      <c r="AI205"/>
      <c r="AQ205" s="1"/>
      <c r="AR205" s="1"/>
    </row>
    <row r="206" spans="1:44" x14ac:dyDescent="0.3">
      <c r="AH206"/>
      <c r="AI206"/>
      <c r="AQ206" s="1"/>
      <c r="AR206" s="1"/>
    </row>
    <row r="207" spans="1:44" x14ac:dyDescent="0.3">
      <c r="AH207"/>
      <c r="AI207"/>
      <c r="AQ207" s="1"/>
      <c r="AR207" s="1"/>
    </row>
    <row r="208" spans="1:44" x14ac:dyDescent="0.3">
      <c r="AH208"/>
      <c r="AI208"/>
      <c r="AQ208" s="1"/>
      <c r="AR208" s="1"/>
    </row>
    <row r="209" spans="1:44" x14ac:dyDescent="0.3">
      <c r="AH209"/>
      <c r="AI209"/>
      <c r="AQ209" s="1"/>
      <c r="AR209" s="1"/>
    </row>
    <row r="210" spans="1:44" x14ac:dyDescent="0.3">
      <c r="AH210"/>
      <c r="AI210"/>
      <c r="AQ210" s="1"/>
      <c r="AR210" s="1"/>
    </row>
    <row r="211" spans="1:44" x14ac:dyDescent="0.3">
      <c r="AH211"/>
      <c r="AI211"/>
      <c r="AQ211" s="1"/>
      <c r="AR211" s="1"/>
    </row>
    <row r="212" spans="1:44" x14ac:dyDescent="0.3">
      <c r="AH212"/>
      <c r="AI212"/>
      <c r="AQ212" s="1"/>
      <c r="AR212" s="1"/>
    </row>
    <row r="213" spans="1:44" x14ac:dyDescent="0.3">
      <c r="AH213"/>
      <c r="AI213"/>
      <c r="AQ213" s="1"/>
      <c r="AR213" s="1"/>
    </row>
    <row r="214" spans="1:44" x14ac:dyDescent="0.3">
      <c r="AH214"/>
      <c r="AI214"/>
      <c r="AQ214" s="1"/>
      <c r="AR214" s="1"/>
    </row>
    <row r="215" spans="1:44" x14ac:dyDescent="0.3">
      <c r="AH215"/>
      <c r="AI215"/>
      <c r="AQ215" s="1"/>
      <c r="AR215" s="1"/>
    </row>
    <row r="216" spans="1:44" x14ac:dyDescent="0.3">
      <c r="AH216"/>
      <c r="AI216"/>
      <c r="AQ216" s="1"/>
      <c r="AR216" s="1"/>
    </row>
    <row r="217" spans="1:44" x14ac:dyDescent="0.3">
      <c r="AH217"/>
      <c r="AI217"/>
      <c r="AQ217" s="1"/>
      <c r="AR217" s="1"/>
    </row>
    <row r="218" spans="1:44" ht="15.75" customHeight="1" x14ac:dyDescent="0.3">
      <c r="A218" s="64" t="s">
        <v>131</v>
      </c>
      <c r="B218" s="64"/>
      <c r="C218" s="64"/>
      <c r="D218" s="64"/>
      <c r="E218" s="64"/>
      <c r="F218" s="64"/>
      <c r="G218" s="64"/>
      <c r="H218" s="64"/>
      <c r="I218" s="64"/>
      <c r="J218" s="64"/>
      <c r="AH218"/>
      <c r="AI218"/>
      <c r="AQ218" s="1"/>
      <c r="AR218" s="1"/>
    </row>
    <row r="219" spans="1:44" ht="15" customHeight="1" x14ac:dyDescent="0.3">
      <c r="A219" s="64"/>
      <c r="B219" s="64"/>
      <c r="C219" s="64"/>
      <c r="D219" s="64"/>
      <c r="E219" s="64"/>
      <c r="F219" s="64"/>
      <c r="G219" s="64"/>
      <c r="H219" s="64"/>
      <c r="I219" s="64"/>
      <c r="J219" s="64"/>
      <c r="AH219"/>
      <c r="AI219"/>
      <c r="AQ219" s="1"/>
      <c r="AR219" s="1"/>
    </row>
    <row r="220" spans="1:44" x14ac:dyDescent="0.3">
      <c r="AH220"/>
      <c r="AI220"/>
      <c r="AQ220" s="1"/>
      <c r="AR220" s="1"/>
    </row>
    <row r="221" spans="1:44" x14ac:dyDescent="0.3">
      <c r="AH221"/>
      <c r="AI221"/>
      <c r="AQ221" s="1"/>
      <c r="AR221" s="1"/>
    </row>
    <row r="222" spans="1:44" x14ac:dyDescent="0.3">
      <c r="AH222"/>
      <c r="AI222"/>
      <c r="AQ222" s="1"/>
      <c r="AR222" s="1"/>
    </row>
    <row r="223" spans="1:44" x14ac:dyDescent="0.3">
      <c r="AH223"/>
      <c r="AI223"/>
      <c r="AQ223" s="1"/>
      <c r="AR223" s="1"/>
    </row>
    <row r="224" spans="1:44" x14ac:dyDescent="0.3">
      <c r="AH224"/>
      <c r="AI224"/>
      <c r="AQ224" s="1"/>
      <c r="AR224" s="1"/>
    </row>
    <row r="225" spans="34:44" x14ac:dyDescent="0.3">
      <c r="AH225"/>
      <c r="AI225"/>
      <c r="AQ225" s="1"/>
      <c r="AR225" s="1"/>
    </row>
    <row r="226" spans="34:44" x14ac:dyDescent="0.3">
      <c r="AH226"/>
      <c r="AI226"/>
      <c r="AQ226" s="1"/>
      <c r="AR226" s="1"/>
    </row>
    <row r="227" spans="34:44" x14ac:dyDescent="0.3">
      <c r="AH227"/>
      <c r="AI227"/>
      <c r="AQ227" s="1"/>
      <c r="AR227" s="1"/>
    </row>
    <row r="228" spans="34:44" x14ac:dyDescent="0.3">
      <c r="AH228"/>
      <c r="AI228"/>
      <c r="AQ228" s="1"/>
      <c r="AR228" s="1"/>
    </row>
    <row r="229" spans="34:44" x14ac:dyDescent="0.3">
      <c r="AH229"/>
      <c r="AI229"/>
      <c r="AQ229" s="1"/>
      <c r="AR229" s="1"/>
    </row>
    <row r="230" spans="34:44" x14ac:dyDescent="0.3">
      <c r="AH230"/>
      <c r="AI230"/>
      <c r="AQ230" s="1"/>
      <c r="AR230" s="1"/>
    </row>
    <row r="231" spans="34:44" x14ac:dyDescent="0.3">
      <c r="AH231"/>
      <c r="AI231"/>
      <c r="AQ231" s="1"/>
      <c r="AR231" s="1"/>
    </row>
    <row r="232" spans="34:44" x14ac:dyDescent="0.3">
      <c r="AH232"/>
      <c r="AI232"/>
      <c r="AQ232" s="1"/>
      <c r="AR232" s="1"/>
    </row>
    <row r="233" spans="34:44" x14ac:dyDescent="0.3">
      <c r="AH233"/>
      <c r="AI233"/>
      <c r="AQ233" s="1"/>
      <c r="AR233" s="1"/>
    </row>
    <row r="234" spans="34:44" x14ac:dyDescent="0.3">
      <c r="AH234"/>
      <c r="AI234"/>
      <c r="AQ234" s="1"/>
      <c r="AR234" s="1"/>
    </row>
    <row r="235" spans="34:44" x14ac:dyDescent="0.3">
      <c r="AH235"/>
      <c r="AI235"/>
      <c r="AQ235" s="1"/>
      <c r="AR235" s="1"/>
    </row>
    <row r="236" spans="34:44" x14ac:dyDescent="0.3">
      <c r="AH236"/>
      <c r="AI236"/>
      <c r="AQ236" s="1"/>
      <c r="AR236" s="1"/>
    </row>
    <row r="237" spans="34:44" x14ac:dyDescent="0.3">
      <c r="AH237"/>
      <c r="AI237"/>
      <c r="AQ237" s="1"/>
      <c r="AR237" s="1"/>
    </row>
    <row r="238" spans="34:44" x14ac:dyDescent="0.3">
      <c r="AH238"/>
      <c r="AI238"/>
      <c r="AQ238" s="1"/>
      <c r="AR238" s="1"/>
    </row>
    <row r="239" spans="34:44" x14ac:dyDescent="0.3">
      <c r="AH239"/>
      <c r="AI239"/>
      <c r="AQ239" s="1"/>
      <c r="AR239" s="1"/>
    </row>
    <row r="240" spans="34:44" x14ac:dyDescent="0.3">
      <c r="AH240"/>
      <c r="AI240"/>
      <c r="AQ240" s="1"/>
      <c r="AR240" s="1"/>
    </row>
    <row r="241" spans="34:44" x14ac:dyDescent="0.3">
      <c r="AH241"/>
      <c r="AI241"/>
      <c r="AQ241" s="1"/>
      <c r="AR241" s="1"/>
    </row>
  </sheetData>
  <mergeCells count="31">
    <mergeCell ref="A99:J99"/>
    <mergeCell ref="A122:J123"/>
    <mergeCell ref="A200:J201"/>
    <mergeCell ref="A218:J219"/>
    <mergeCell ref="A102:J104"/>
    <mergeCell ref="A100:J101"/>
    <mergeCell ref="A125:J128"/>
    <mergeCell ref="A146:J147"/>
    <mergeCell ref="A151:J152"/>
    <mergeCell ref="A171:J171"/>
    <mergeCell ref="A173:J176"/>
    <mergeCell ref="A195:A196"/>
    <mergeCell ref="B195:B196"/>
    <mergeCell ref="C195:C196"/>
    <mergeCell ref="D195:D196"/>
    <mergeCell ref="E195:E196"/>
    <mergeCell ref="H195:H196"/>
    <mergeCell ref="I195:I196"/>
    <mergeCell ref="A198:J198"/>
    <mergeCell ref="J195:J196"/>
    <mergeCell ref="B170:C170"/>
    <mergeCell ref="F195:F196"/>
    <mergeCell ref="G195:G196"/>
    <mergeCell ref="B71:C71"/>
    <mergeCell ref="F71:G71"/>
    <mergeCell ref="A94:A95"/>
    <mergeCell ref="A96:A97"/>
    <mergeCell ref="A1:J48"/>
    <mergeCell ref="A51:J52"/>
    <mergeCell ref="A73:J73"/>
    <mergeCell ref="A75:J76"/>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O7"/>
  <sheetViews>
    <sheetView view="pageLayout" zoomScaleNormal="100" workbookViewId="0">
      <selection activeCell="A4" sqref="A4"/>
    </sheetView>
  </sheetViews>
  <sheetFormatPr defaultRowHeight="15.6" x14ac:dyDescent="0.3"/>
  <cols>
    <col min="1" max="1" width="3.88671875" style="32" customWidth="1"/>
    <col min="2" max="2" width="9.5546875" customWidth="1"/>
    <col min="3" max="3" width="13.33203125" customWidth="1"/>
    <col min="4" max="4" width="20.44140625" customWidth="1"/>
    <col min="5" max="5" width="9" customWidth="1"/>
    <col min="6" max="6" width="14.33203125" customWidth="1"/>
    <col min="7" max="7" width="16.6640625" customWidth="1"/>
  </cols>
  <sheetData>
    <row r="1" spans="1:41" s="1" customFormat="1" ht="15" customHeight="1" x14ac:dyDescent="0.3">
      <c r="A1" s="61" t="s">
        <v>148</v>
      </c>
      <c r="B1" s="61"/>
      <c r="C1" s="61"/>
      <c r="D1" s="61"/>
      <c r="E1" s="61"/>
      <c r="F1" s="61"/>
      <c r="G1" s="61"/>
      <c r="AN1"/>
      <c r="AO1"/>
    </row>
    <row r="2" spans="1:41" s="1" customFormat="1" ht="15" customHeight="1" x14ac:dyDescent="0.3">
      <c r="A2" s="61"/>
      <c r="B2" s="61"/>
      <c r="C2" s="61"/>
      <c r="D2" s="61"/>
      <c r="E2" s="61"/>
      <c r="F2" s="61"/>
      <c r="G2" s="61"/>
      <c r="AN2"/>
      <c r="AO2"/>
    </row>
    <row r="3" spans="1:41" s="1" customFormat="1" x14ac:dyDescent="0.3">
      <c r="A3" s="62" t="s">
        <v>149</v>
      </c>
      <c r="B3" s="62"/>
      <c r="C3" s="62"/>
      <c r="D3" s="62"/>
      <c r="E3" s="62"/>
      <c r="F3" s="62"/>
      <c r="G3" s="62"/>
      <c r="AN3"/>
      <c r="AO3"/>
    </row>
    <row r="4" spans="1:41" s="1" customFormat="1" ht="36.75" customHeight="1" x14ac:dyDescent="0.3">
      <c r="A4" s="36" t="s">
        <v>84</v>
      </c>
      <c r="B4" s="34" t="s">
        <v>8</v>
      </c>
      <c r="C4" s="34" t="s">
        <v>11</v>
      </c>
      <c r="D4" s="34" t="s">
        <v>9</v>
      </c>
      <c r="E4" s="34" t="s">
        <v>85</v>
      </c>
      <c r="F4" s="34" t="s">
        <v>86</v>
      </c>
      <c r="G4" s="34" t="s">
        <v>10</v>
      </c>
      <c r="AN4"/>
      <c r="AO4"/>
    </row>
    <row r="5" spans="1:41" s="1" customFormat="1" x14ac:dyDescent="0.3">
      <c r="A5" s="37"/>
      <c r="B5" s="33"/>
      <c r="C5" s="33"/>
      <c r="D5" s="33"/>
      <c r="E5" s="33"/>
      <c r="F5" s="33"/>
      <c r="G5" s="33"/>
      <c r="AN5"/>
      <c r="AO5"/>
    </row>
    <row r="6" spans="1:41" s="1" customFormat="1" x14ac:dyDescent="0.3">
      <c r="A6" s="37"/>
      <c r="B6" s="33"/>
      <c r="C6" s="33"/>
      <c r="D6" s="33"/>
      <c r="E6" s="33"/>
      <c r="F6" s="33"/>
      <c r="G6" s="33"/>
      <c r="AN6"/>
      <c r="AO6"/>
    </row>
    <row r="7" spans="1:41" s="1" customFormat="1" x14ac:dyDescent="0.3">
      <c r="A7" s="37"/>
      <c r="B7" s="33"/>
      <c r="C7" s="33"/>
      <c r="D7" s="33"/>
      <c r="E7" s="33"/>
      <c r="F7" s="33"/>
      <c r="G7" s="33"/>
      <c r="AN7"/>
      <c r="AO7"/>
    </row>
  </sheetData>
  <mergeCells count="2">
    <mergeCell ref="A1:G2"/>
    <mergeCell ref="A3:G3"/>
  </mergeCells>
  <pageMargins left="0.7" right="0.63541666666666663"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R237"/>
  <sheetViews>
    <sheetView showGridLines="0" showWhiteSpace="0" view="pageLayout" topLeftCell="A235" zoomScale="93" zoomScaleNormal="100" zoomScaleSheetLayoutView="100" zoomScalePageLayoutView="93" workbookViewId="0">
      <selection activeCell="F124" sqref="F124"/>
    </sheetView>
  </sheetViews>
  <sheetFormatPr defaultColWidth="9.109375" defaultRowHeight="14.4" x14ac:dyDescent="0.3"/>
  <cols>
    <col min="1" max="1" width="13.109375" style="1" customWidth="1"/>
    <col min="2" max="10" width="7.6640625" style="1" customWidth="1"/>
    <col min="11" max="12" width="9.109375" style="1"/>
    <col min="13" max="13" width="11" style="1" customWidth="1"/>
    <col min="14" max="33" width="9.109375" style="1"/>
    <col min="36" max="252" width="9.109375" style="1"/>
    <col min="253" max="253" width="14.5546875" style="1" customWidth="1"/>
    <col min="254" max="254" width="15.5546875" style="1" customWidth="1"/>
    <col min="255" max="255" width="16.5546875" style="1" customWidth="1"/>
    <col min="256" max="256" width="11.33203125" style="1" customWidth="1"/>
    <col min="257" max="268" width="9.109375" style="1"/>
    <col min="269" max="269" width="11" style="1" customWidth="1"/>
    <col min="270" max="508" width="9.109375" style="1"/>
    <col min="509" max="509" width="14.5546875" style="1" customWidth="1"/>
    <col min="510" max="510" width="15.5546875" style="1" customWidth="1"/>
    <col min="511" max="511" width="16.5546875" style="1" customWidth="1"/>
    <col min="512" max="512" width="11.33203125" style="1" customWidth="1"/>
    <col min="513" max="524" width="9.109375" style="1"/>
    <col min="525" max="525" width="11" style="1" customWidth="1"/>
    <col min="526" max="764" width="9.109375" style="1"/>
    <col min="765" max="765" width="14.5546875" style="1" customWidth="1"/>
    <col min="766" max="766" width="15.5546875" style="1" customWidth="1"/>
    <col min="767" max="767" width="16.5546875" style="1" customWidth="1"/>
    <col min="768" max="768" width="11.33203125" style="1" customWidth="1"/>
    <col min="769" max="780" width="9.109375" style="1"/>
    <col min="781" max="781" width="11" style="1" customWidth="1"/>
    <col min="782" max="1020" width="9.109375" style="1"/>
    <col min="1021" max="1021" width="14.5546875" style="1" customWidth="1"/>
    <col min="1022" max="1022" width="15.5546875" style="1" customWidth="1"/>
    <col min="1023" max="1023" width="16.5546875" style="1" customWidth="1"/>
    <col min="1024" max="1024" width="11.33203125" style="1" customWidth="1"/>
    <col min="1025" max="1036" width="9.109375" style="1"/>
    <col min="1037" max="1037" width="11" style="1" customWidth="1"/>
    <col min="1038" max="1276" width="9.109375" style="1"/>
    <col min="1277" max="1277" width="14.5546875" style="1" customWidth="1"/>
    <col min="1278" max="1278" width="15.5546875" style="1" customWidth="1"/>
    <col min="1279" max="1279" width="16.5546875" style="1" customWidth="1"/>
    <col min="1280" max="1280" width="11.33203125" style="1" customWidth="1"/>
    <col min="1281" max="1292" width="9.109375" style="1"/>
    <col min="1293" max="1293" width="11" style="1" customWidth="1"/>
    <col min="1294" max="1532" width="9.109375" style="1"/>
    <col min="1533" max="1533" width="14.5546875" style="1" customWidth="1"/>
    <col min="1534" max="1534" width="15.5546875" style="1" customWidth="1"/>
    <col min="1535" max="1535" width="16.5546875" style="1" customWidth="1"/>
    <col min="1536" max="1536" width="11.33203125" style="1" customWidth="1"/>
    <col min="1537" max="1548" width="9.109375" style="1"/>
    <col min="1549" max="1549" width="11" style="1" customWidth="1"/>
    <col min="1550" max="1788" width="9.109375" style="1"/>
    <col min="1789" max="1789" width="14.5546875" style="1" customWidth="1"/>
    <col min="1790" max="1790" width="15.5546875" style="1" customWidth="1"/>
    <col min="1791" max="1791" width="16.5546875" style="1" customWidth="1"/>
    <col min="1792" max="1792" width="11.33203125" style="1" customWidth="1"/>
    <col min="1793" max="1804" width="9.109375" style="1"/>
    <col min="1805" max="1805" width="11" style="1" customWidth="1"/>
    <col min="1806" max="2044" width="9.109375" style="1"/>
    <col min="2045" max="2045" width="14.5546875" style="1" customWidth="1"/>
    <col min="2046" max="2046" width="15.5546875" style="1" customWidth="1"/>
    <col min="2047" max="2047" width="16.5546875" style="1" customWidth="1"/>
    <col min="2048" max="2048" width="11.33203125" style="1" customWidth="1"/>
    <col min="2049" max="2060" width="9.109375" style="1"/>
    <col min="2061" max="2061" width="11" style="1" customWidth="1"/>
    <col min="2062" max="2300" width="9.109375" style="1"/>
    <col min="2301" max="2301" width="14.5546875" style="1" customWidth="1"/>
    <col min="2302" max="2302" width="15.5546875" style="1" customWidth="1"/>
    <col min="2303" max="2303" width="16.5546875" style="1" customWidth="1"/>
    <col min="2304" max="2304" width="11.33203125" style="1" customWidth="1"/>
    <col min="2305" max="2316" width="9.109375" style="1"/>
    <col min="2317" max="2317" width="11" style="1" customWidth="1"/>
    <col min="2318" max="2556" width="9.109375" style="1"/>
    <col min="2557" max="2557" width="14.5546875" style="1" customWidth="1"/>
    <col min="2558" max="2558" width="15.5546875" style="1" customWidth="1"/>
    <col min="2559" max="2559" width="16.5546875" style="1" customWidth="1"/>
    <col min="2560" max="2560" width="11.33203125" style="1" customWidth="1"/>
    <col min="2561" max="2572" width="9.109375" style="1"/>
    <col min="2573" max="2573" width="11" style="1" customWidth="1"/>
    <col min="2574" max="2812" width="9.109375" style="1"/>
    <col min="2813" max="2813" width="14.5546875" style="1" customWidth="1"/>
    <col min="2814" max="2814" width="15.5546875" style="1" customWidth="1"/>
    <col min="2815" max="2815" width="16.5546875" style="1" customWidth="1"/>
    <col min="2816" max="2816" width="11.33203125" style="1" customWidth="1"/>
    <col min="2817" max="2828" width="9.109375" style="1"/>
    <col min="2829" max="2829" width="11" style="1" customWidth="1"/>
    <col min="2830" max="3068" width="9.109375" style="1"/>
    <col min="3069" max="3069" width="14.5546875" style="1" customWidth="1"/>
    <col min="3070" max="3070" width="15.5546875" style="1" customWidth="1"/>
    <col min="3071" max="3071" width="16.5546875" style="1" customWidth="1"/>
    <col min="3072" max="3072" width="11.33203125" style="1" customWidth="1"/>
    <col min="3073" max="3084" width="9.109375" style="1"/>
    <col min="3085" max="3085" width="11" style="1" customWidth="1"/>
    <col min="3086" max="3324" width="9.109375" style="1"/>
    <col min="3325" max="3325" width="14.5546875" style="1" customWidth="1"/>
    <col min="3326" max="3326" width="15.5546875" style="1" customWidth="1"/>
    <col min="3327" max="3327" width="16.5546875" style="1" customWidth="1"/>
    <col min="3328" max="3328" width="11.33203125" style="1" customWidth="1"/>
    <col min="3329" max="3340" width="9.109375" style="1"/>
    <col min="3341" max="3341" width="11" style="1" customWidth="1"/>
    <col min="3342" max="3580" width="9.109375" style="1"/>
    <col min="3581" max="3581" width="14.5546875" style="1" customWidth="1"/>
    <col min="3582" max="3582" width="15.5546875" style="1" customWidth="1"/>
    <col min="3583" max="3583" width="16.5546875" style="1" customWidth="1"/>
    <col min="3584" max="3584" width="11.33203125" style="1" customWidth="1"/>
    <col min="3585" max="3596" width="9.109375" style="1"/>
    <col min="3597" max="3597" width="11" style="1" customWidth="1"/>
    <col min="3598" max="3836" width="9.109375" style="1"/>
    <col min="3837" max="3837" width="14.5546875" style="1" customWidth="1"/>
    <col min="3838" max="3838" width="15.5546875" style="1" customWidth="1"/>
    <col min="3839" max="3839" width="16.5546875" style="1" customWidth="1"/>
    <col min="3840" max="3840" width="11.33203125" style="1" customWidth="1"/>
    <col min="3841" max="3852" width="9.109375" style="1"/>
    <col min="3853" max="3853" width="11" style="1" customWidth="1"/>
    <col min="3854" max="4092" width="9.109375" style="1"/>
    <col min="4093" max="4093" width="14.5546875" style="1" customWidth="1"/>
    <col min="4094" max="4094" width="15.5546875" style="1" customWidth="1"/>
    <col min="4095" max="4095" width="16.5546875" style="1" customWidth="1"/>
    <col min="4096" max="4096" width="11.33203125" style="1" customWidth="1"/>
    <col min="4097" max="4108" width="9.109375" style="1"/>
    <col min="4109" max="4109" width="11" style="1" customWidth="1"/>
    <col min="4110" max="4348" width="9.109375" style="1"/>
    <col min="4349" max="4349" width="14.5546875" style="1" customWidth="1"/>
    <col min="4350" max="4350" width="15.5546875" style="1" customWidth="1"/>
    <col min="4351" max="4351" width="16.5546875" style="1" customWidth="1"/>
    <col min="4352" max="4352" width="11.33203125" style="1" customWidth="1"/>
    <col min="4353" max="4364" width="9.109375" style="1"/>
    <col min="4365" max="4365" width="11" style="1" customWidth="1"/>
    <col min="4366" max="4604" width="9.109375" style="1"/>
    <col min="4605" max="4605" width="14.5546875" style="1" customWidth="1"/>
    <col min="4606" max="4606" width="15.5546875" style="1" customWidth="1"/>
    <col min="4607" max="4607" width="16.5546875" style="1" customWidth="1"/>
    <col min="4608" max="4608" width="11.33203125" style="1" customWidth="1"/>
    <col min="4609" max="4620" width="9.109375" style="1"/>
    <col min="4621" max="4621" width="11" style="1" customWidth="1"/>
    <col min="4622" max="4860" width="9.109375" style="1"/>
    <col min="4861" max="4861" width="14.5546875" style="1" customWidth="1"/>
    <col min="4862" max="4862" width="15.5546875" style="1" customWidth="1"/>
    <col min="4863" max="4863" width="16.5546875" style="1" customWidth="1"/>
    <col min="4864" max="4864" width="11.33203125" style="1" customWidth="1"/>
    <col min="4865" max="4876" width="9.109375" style="1"/>
    <col min="4877" max="4877" width="11" style="1" customWidth="1"/>
    <col min="4878" max="5116" width="9.109375" style="1"/>
    <col min="5117" max="5117" width="14.5546875" style="1" customWidth="1"/>
    <col min="5118" max="5118" width="15.5546875" style="1" customWidth="1"/>
    <col min="5119" max="5119" width="16.5546875" style="1" customWidth="1"/>
    <col min="5120" max="5120" width="11.33203125" style="1" customWidth="1"/>
    <col min="5121" max="5132" width="9.109375" style="1"/>
    <col min="5133" max="5133" width="11" style="1" customWidth="1"/>
    <col min="5134" max="5372" width="9.109375" style="1"/>
    <col min="5373" max="5373" width="14.5546875" style="1" customWidth="1"/>
    <col min="5374" max="5374" width="15.5546875" style="1" customWidth="1"/>
    <col min="5375" max="5375" width="16.5546875" style="1" customWidth="1"/>
    <col min="5376" max="5376" width="11.33203125" style="1" customWidth="1"/>
    <col min="5377" max="5388" width="9.109375" style="1"/>
    <col min="5389" max="5389" width="11" style="1" customWidth="1"/>
    <col min="5390" max="5628" width="9.109375" style="1"/>
    <col min="5629" max="5629" width="14.5546875" style="1" customWidth="1"/>
    <col min="5630" max="5630" width="15.5546875" style="1" customWidth="1"/>
    <col min="5631" max="5631" width="16.5546875" style="1" customWidth="1"/>
    <col min="5632" max="5632" width="11.33203125" style="1" customWidth="1"/>
    <col min="5633" max="5644" width="9.109375" style="1"/>
    <col min="5645" max="5645" width="11" style="1" customWidth="1"/>
    <col min="5646" max="5884" width="9.109375" style="1"/>
    <col min="5885" max="5885" width="14.5546875" style="1" customWidth="1"/>
    <col min="5886" max="5886" width="15.5546875" style="1" customWidth="1"/>
    <col min="5887" max="5887" width="16.5546875" style="1" customWidth="1"/>
    <col min="5888" max="5888" width="11.33203125" style="1" customWidth="1"/>
    <col min="5889" max="5900" width="9.109375" style="1"/>
    <col min="5901" max="5901" width="11" style="1" customWidth="1"/>
    <col min="5902" max="6140" width="9.109375" style="1"/>
    <col min="6141" max="6141" width="14.5546875" style="1" customWidth="1"/>
    <col min="6142" max="6142" width="15.5546875" style="1" customWidth="1"/>
    <col min="6143" max="6143" width="16.5546875" style="1" customWidth="1"/>
    <col min="6144" max="6144" width="11.33203125" style="1" customWidth="1"/>
    <col min="6145" max="6156" width="9.109375" style="1"/>
    <col min="6157" max="6157" width="11" style="1" customWidth="1"/>
    <col min="6158" max="6396" width="9.109375" style="1"/>
    <col min="6397" max="6397" width="14.5546875" style="1" customWidth="1"/>
    <col min="6398" max="6398" width="15.5546875" style="1" customWidth="1"/>
    <col min="6399" max="6399" width="16.5546875" style="1" customWidth="1"/>
    <col min="6400" max="6400" width="11.33203125" style="1" customWidth="1"/>
    <col min="6401" max="6412" width="9.109375" style="1"/>
    <col min="6413" max="6413" width="11" style="1" customWidth="1"/>
    <col min="6414" max="6652" width="9.109375" style="1"/>
    <col min="6653" max="6653" width="14.5546875" style="1" customWidth="1"/>
    <col min="6654" max="6654" width="15.5546875" style="1" customWidth="1"/>
    <col min="6655" max="6655" width="16.5546875" style="1" customWidth="1"/>
    <col min="6656" max="6656" width="11.33203125" style="1" customWidth="1"/>
    <col min="6657" max="6668" width="9.109375" style="1"/>
    <col min="6669" max="6669" width="11" style="1" customWidth="1"/>
    <col min="6670" max="6908" width="9.109375" style="1"/>
    <col min="6909" max="6909" width="14.5546875" style="1" customWidth="1"/>
    <col min="6910" max="6910" width="15.5546875" style="1" customWidth="1"/>
    <col min="6911" max="6911" width="16.5546875" style="1" customWidth="1"/>
    <col min="6912" max="6912" width="11.33203125" style="1" customWidth="1"/>
    <col min="6913" max="6924" width="9.109375" style="1"/>
    <col min="6925" max="6925" width="11" style="1" customWidth="1"/>
    <col min="6926" max="7164" width="9.109375" style="1"/>
    <col min="7165" max="7165" width="14.5546875" style="1" customWidth="1"/>
    <col min="7166" max="7166" width="15.5546875" style="1" customWidth="1"/>
    <col min="7167" max="7167" width="16.5546875" style="1" customWidth="1"/>
    <col min="7168" max="7168" width="11.33203125" style="1" customWidth="1"/>
    <col min="7169" max="7180" width="9.109375" style="1"/>
    <col min="7181" max="7181" width="11" style="1" customWidth="1"/>
    <col min="7182" max="7420" width="9.109375" style="1"/>
    <col min="7421" max="7421" width="14.5546875" style="1" customWidth="1"/>
    <col min="7422" max="7422" width="15.5546875" style="1" customWidth="1"/>
    <col min="7423" max="7423" width="16.5546875" style="1" customWidth="1"/>
    <col min="7424" max="7424" width="11.33203125" style="1" customWidth="1"/>
    <col min="7425" max="7436" width="9.109375" style="1"/>
    <col min="7437" max="7437" width="11" style="1" customWidth="1"/>
    <col min="7438" max="7676" width="9.109375" style="1"/>
    <col min="7677" max="7677" width="14.5546875" style="1" customWidth="1"/>
    <col min="7678" max="7678" width="15.5546875" style="1" customWidth="1"/>
    <col min="7679" max="7679" width="16.5546875" style="1" customWidth="1"/>
    <col min="7680" max="7680" width="11.33203125" style="1" customWidth="1"/>
    <col min="7681" max="7692" width="9.109375" style="1"/>
    <col min="7693" max="7693" width="11" style="1" customWidth="1"/>
    <col min="7694" max="7932" width="9.109375" style="1"/>
    <col min="7933" max="7933" width="14.5546875" style="1" customWidth="1"/>
    <col min="7934" max="7934" width="15.5546875" style="1" customWidth="1"/>
    <col min="7935" max="7935" width="16.5546875" style="1" customWidth="1"/>
    <col min="7936" max="7936" width="11.33203125" style="1" customWidth="1"/>
    <col min="7937" max="7948" width="9.109375" style="1"/>
    <col min="7949" max="7949" width="11" style="1" customWidth="1"/>
    <col min="7950" max="8188" width="9.109375" style="1"/>
    <col min="8189" max="8189" width="14.5546875" style="1" customWidth="1"/>
    <col min="8190" max="8190" width="15.5546875" style="1" customWidth="1"/>
    <col min="8191" max="8191" width="16.5546875" style="1" customWidth="1"/>
    <col min="8192" max="8192" width="11.33203125" style="1" customWidth="1"/>
    <col min="8193" max="8204" width="9.109375" style="1"/>
    <col min="8205" max="8205" width="11" style="1" customWidth="1"/>
    <col min="8206" max="8444" width="9.109375" style="1"/>
    <col min="8445" max="8445" width="14.5546875" style="1" customWidth="1"/>
    <col min="8446" max="8446" width="15.5546875" style="1" customWidth="1"/>
    <col min="8447" max="8447" width="16.5546875" style="1" customWidth="1"/>
    <col min="8448" max="8448" width="11.33203125" style="1" customWidth="1"/>
    <col min="8449" max="8460" width="9.109375" style="1"/>
    <col min="8461" max="8461" width="11" style="1" customWidth="1"/>
    <col min="8462" max="8700" width="9.109375" style="1"/>
    <col min="8701" max="8701" width="14.5546875" style="1" customWidth="1"/>
    <col min="8702" max="8702" width="15.5546875" style="1" customWidth="1"/>
    <col min="8703" max="8703" width="16.5546875" style="1" customWidth="1"/>
    <col min="8704" max="8704" width="11.33203125" style="1" customWidth="1"/>
    <col min="8705" max="8716" width="9.109375" style="1"/>
    <col min="8717" max="8717" width="11" style="1" customWidth="1"/>
    <col min="8718" max="8956" width="9.109375" style="1"/>
    <col min="8957" max="8957" width="14.5546875" style="1" customWidth="1"/>
    <col min="8958" max="8958" width="15.5546875" style="1" customWidth="1"/>
    <col min="8959" max="8959" width="16.5546875" style="1" customWidth="1"/>
    <col min="8960" max="8960" width="11.33203125" style="1" customWidth="1"/>
    <col min="8961" max="8972" width="9.109375" style="1"/>
    <col min="8973" max="8973" width="11" style="1" customWidth="1"/>
    <col min="8974" max="9212" width="9.109375" style="1"/>
    <col min="9213" max="9213" width="14.5546875" style="1" customWidth="1"/>
    <col min="9214" max="9214" width="15.5546875" style="1" customWidth="1"/>
    <col min="9215" max="9215" width="16.5546875" style="1" customWidth="1"/>
    <col min="9216" max="9216" width="11.33203125" style="1" customWidth="1"/>
    <col min="9217" max="9228" width="9.109375" style="1"/>
    <col min="9229" max="9229" width="11" style="1" customWidth="1"/>
    <col min="9230" max="9468" width="9.109375" style="1"/>
    <col min="9469" max="9469" width="14.5546875" style="1" customWidth="1"/>
    <col min="9470" max="9470" width="15.5546875" style="1" customWidth="1"/>
    <col min="9471" max="9471" width="16.5546875" style="1" customWidth="1"/>
    <col min="9472" max="9472" width="11.33203125" style="1" customWidth="1"/>
    <col min="9473" max="9484" width="9.109375" style="1"/>
    <col min="9485" max="9485" width="11" style="1" customWidth="1"/>
    <col min="9486" max="9724" width="9.109375" style="1"/>
    <col min="9725" max="9725" width="14.5546875" style="1" customWidth="1"/>
    <col min="9726" max="9726" width="15.5546875" style="1" customWidth="1"/>
    <col min="9727" max="9727" width="16.5546875" style="1" customWidth="1"/>
    <col min="9728" max="9728" width="11.33203125" style="1" customWidth="1"/>
    <col min="9729" max="9740" width="9.109375" style="1"/>
    <col min="9741" max="9741" width="11" style="1" customWidth="1"/>
    <col min="9742" max="9980" width="9.109375" style="1"/>
    <col min="9981" max="9981" width="14.5546875" style="1" customWidth="1"/>
    <col min="9982" max="9982" width="15.5546875" style="1" customWidth="1"/>
    <col min="9983" max="9983" width="16.5546875" style="1" customWidth="1"/>
    <col min="9984" max="9984" width="11.33203125" style="1" customWidth="1"/>
    <col min="9985" max="9996" width="9.109375" style="1"/>
    <col min="9997" max="9997" width="11" style="1" customWidth="1"/>
    <col min="9998" max="10236" width="9.109375" style="1"/>
    <col min="10237" max="10237" width="14.5546875" style="1" customWidth="1"/>
    <col min="10238" max="10238" width="15.5546875" style="1" customWidth="1"/>
    <col min="10239" max="10239" width="16.5546875" style="1" customWidth="1"/>
    <col min="10240" max="10240" width="11.33203125" style="1" customWidth="1"/>
    <col min="10241" max="10252" width="9.109375" style="1"/>
    <col min="10253" max="10253" width="11" style="1" customWidth="1"/>
    <col min="10254" max="10492" width="9.109375" style="1"/>
    <col min="10493" max="10493" width="14.5546875" style="1" customWidth="1"/>
    <col min="10494" max="10494" width="15.5546875" style="1" customWidth="1"/>
    <col min="10495" max="10495" width="16.5546875" style="1" customWidth="1"/>
    <col min="10496" max="10496" width="11.33203125" style="1" customWidth="1"/>
    <col min="10497" max="10508" width="9.109375" style="1"/>
    <col min="10509" max="10509" width="11" style="1" customWidth="1"/>
    <col min="10510" max="10748" width="9.109375" style="1"/>
    <col min="10749" max="10749" width="14.5546875" style="1" customWidth="1"/>
    <col min="10750" max="10750" width="15.5546875" style="1" customWidth="1"/>
    <col min="10751" max="10751" width="16.5546875" style="1" customWidth="1"/>
    <col min="10752" max="10752" width="11.33203125" style="1" customWidth="1"/>
    <col min="10753" max="10764" width="9.109375" style="1"/>
    <col min="10765" max="10765" width="11" style="1" customWidth="1"/>
    <col min="10766" max="11004" width="9.109375" style="1"/>
    <col min="11005" max="11005" width="14.5546875" style="1" customWidth="1"/>
    <col min="11006" max="11006" width="15.5546875" style="1" customWidth="1"/>
    <col min="11007" max="11007" width="16.5546875" style="1" customWidth="1"/>
    <col min="11008" max="11008" width="11.33203125" style="1" customWidth="1"/>
    <col min="11009" max="11020" width="9.109375" style="1"/>
    <col min="11021" max="11021" width="11" style="1" customWidth="1"/>
    <col min="11022" max="11260" width="9.109375" style="1"/>
    <col min="11261" max="11261" width="14.5546875" style="1" customWidth="1"/>
    <col min="11262" max="11262" width="15.5546875" style="1" customWidth="1"/>
    <col min="11263" max="11263" width="16.5546875" style="1" customWidth="1"/>
    <col min="11264" max="11264" width="11.33203125" style="1" customWidth="1"/>
    <col min="11265" max="11276" width="9.109375" style="1"/>
    <col min="11277" max="11277" width="11" style="1" customWidth="1"/>
    <col min="11278" max="11516" width="9.109375" style="1"/>
    <col min="11517" max="11517" width="14.5546875" style="1" customWidth="1"/>
    <col min="11518" max="11518" width="15.5546875" style="1" customWidth="1"/>
    <col min="11519" max="11519" width="16.5546875" style="1" customWidth="1"/>
    <col min="11520" max="11520" width="11.33203125" style="1" customWidth="1"/>
    <col min="11521" max="11532" width="9.109375" style="1"/>
    <col min="11533" max="11533" width="11" style="1" customWidth="1"/>
    <col min="11534" max="11772" width="9.109375" style="1"/>
    <col min="11773" max="11773" width="14.5546875" style="1" customWidth="1"/>
    <col min="11774" max="11774" width="15.5546875" style="1" customWidth="1"/>
    <col min="11775" max="11775" width="16.5546875" style="1" customWidth="1"/>
    <col min="11776" max="11776" width="11.33203125" style="1" customWidth="1"/>
    <col min="11777" max="11788" width="9.109375" style="1"/>
    <col min="11789" max="11789" width="11" style="1" customWidth="1"/>
    <col min="11790" max="12028" width="9.109375" style="1"/>
    <col min="12029" max="12029" width="14.5546875" style="1" customWidth="1"/>
    <col min="12030" max="12030" width="15.5546875" style="1" customWidth="1"/>
    <col min="12031" max="12031" width="16.5546875" style="1" customWidth="1"/>
    <col min="12032" max="12032" width="11.33203125" style="1" customWidth="1"/>
    <col min="12033" max="12044" width="9.109375" style="1"/>
    <col min="12045" max="12045" width="11" style="1" customWidth="1"/>
    <col min="12046" max="12284" width="9.109375" style="1"/>
    <col min="12285" max="12285" width="14.5546875" style="1" customWidth="1"/>
    <col min="12286" max="12286" width="15.5546875" style="1" customWidth="1"/>
    <col min="12287" max="12287" width="16.5546875" style="1" customWidth="1"/>
    <col min="12288" max="12288" width="11.33203125" style="1" customWidth="1"/>
    <col min="12289" max="12300" width="9.109375" style="1"/>
    <col min="12301" max="12301" width="11" style="1" customWidth="1"/>
    <col min="12302" max="12540" width="9.109375" style="1"/>
    <col min="12541" max="12541" width="14.5546875" style="1" customWidth="1"/>
    <col min="12542" max="12542" width="15.5546875" style="1" customWidth="1"/>
    <col min="12543" max="12543" width="16.5546875" style="1" customWidth="1"/>
    <col min="12544" max="12544" width="11.33203125" style="1" customWidth="1"/>
    <col min="12545" max="12556" width="9.109375" style="1"/>
    <col min="12557" max="12557" width="11" style="1" customWidth="1"/>
    <col min="12558" max="12796" width="9.109375" style="1"/>
    <col min="12797" max="12797" width="14.5546875" style="1" customWidth="1"/>
    <col min="12798" max="12798" width="15.5546875" style="1" customWidth="1"/>
    <col min="12799" max="12799" width="16.5546875" style="1" customWidth="1"/>
    <col min="12800" max="12800" width="11.33203125" style="1" customWidth="1"/>
    <col min="12801" max="12812" width="9.109375" style="1"/>
    <col min="12813" max="12813" width="11" style="1" customWidth="1"/>
    <col min="12814" max="13052" width="9.109375" style="1"/>
    <col min="13053" max="13053" width="14.5546875" style="1" customWidth="1"/>
    <col min="13054" max="13054" width="15.5546875" style="1" customWidth="1"/>
    <col min="13055" max="13055" width="16.5546875" style="1" customWidth="1"/>
    <col min="13056" max="13056" width="11.33203125" style="1" customWidth="1"/>
    <col min="13057" max="13068" width="9.109375" style="1"/>
    <col min="13069" max="13069" width="11" style="1" customWidth="1"/>
    <col min="13070" max="13308" width="9.109375" style="1"/>
    <col min="13309" max="13309" width="14.5546875" style="1" customWidth="1"/>
    <col min="13310" max="13310" width="15.5546875" style="1" customWidth="1"/>
    <col min="13311" max="13311" width="16.5546875" style="1" customWidth="1"/>
    <col min="13312" max="13312" width="11.33203125" style="1" customWidth="1"/>
    <col min="13313" max="13324" width="9.109375" style="1"/>
    <col min="13325" max="13325" width="11" style="1" customWidth="1"/>
    <col min="13326" max="13564" width="9.109375" style="1"/>
    <col min="13565" max="13565" width="14.5546875" style="1" customWidth="1"/>
    <col min="13566" max="13566" width="15.5546875" style="1" customWidth="1"/>
    <col min="13567" max="13567" width="16.5546875" style="1" customWidth="1"/>
    <col min="13568" max="13568" width="11.33203125" style="1" customWidth="1"/>
    <col min="13569" max="13580" width="9.109375" style="1"/>
    <col min="13581" max="13581" width="11" style="1" customWidth="1"/>
    <col min="13582" max="13820" width="9.109375" style="1"/>
    <col min="13821" max="13821" width="14.5546875" style="1" customWidth="1"/>
    <col min="13822" max="13822" width="15.5546875" style="1" customWidth="1"/>
    <col min="13823" max="13823" width="16.5546875" style="1" customWidth="1"/>
    <col min="13824" max="13824" width="11.33203125" style="1" customWidth="1"/>
    <col min="13825" max="13836" width="9.109375" style="1"/>
    <col min="13837" max="13837" width="11" style="1" customWidth="1"/>
    <col min="13838" max="14076" width="9.109375" style="1"/>
    <col min="14077" max="14077" width="14.5546875" style="1" customWidth="1"/>
    <col min="14078" max="14078" width="15.5546875" style="1" customWidth="1"/>
    <col min="14079" max="14079" width="16.5546875" style="1" customWidth="1"/>
    <col min="14080" max="14080" width="11.33203125" style="1" customWidth="1"/>
    <col min="14081" max="14092" width="9.109375" style="1"/>
    <col min="14093" max="14093" width="11" style="1" customWidth="1"/>
    <col min="14094" max="14332" width="9.109375" style="1"/>
    <col min="14333" max="14333" width="14.5546875" style="1" customWidth="1"/>
    <col min="14334" max="14334" width="15.5546875" style="1" customWidth="1"/>
    <col min="14335" max="14335" width="16.5546875" style="1" customWidth="1"/>
    <col min="14336" max="14336" width="11.33203125" style="1" customWidth="1"/>
    <col min="14337" max="14348" width="9.109375" style="1"/>
    <col min="14349" max="14349" width="11" style="1" customWidth="1"/>
    <col min="14350" max="14588" width="9.109375" style="1"/>
    <col min="14589" max="14589" width="14.5546875" style="1" customWidth="1"/>
    <col min="14590" max="14590" width="15.5546875" style="1" customWidth="1"/>
    <col min="14591" max="14591" width="16.5546875" style="1" customWidth="1"/>
    <col min="14592" max="14592" width="11.33203125" style="1" customWidth="1"/>
    <col min="14593" max="14604" width="9.109375" style="1"/>
    <col min="14605" max="14605" width="11" style="1" customWidth="1"/>
    <col min="14606" max="14844" width="9.109375" style="1"/>
    <col min="14845" max="14845" width="14.5546875" style="1" customWidth="1"/>
    <col min="14846" max="14846" width="15.5546875" style="1" customWidth="1"/>
    <col min="14847" max="14847" width="16.5546875" style="1" customWidth="1"/>
    <col min="14848" max="14848" width="11.33203125" style="1" customWidth="1"/>
    <col min="14849" max="14860" width="9.109375" style="1"/>
    <col min="14861" max="14861" width="11" style="1" customWidth="1"/>
    <col min="14862" max="15100" width="9.109375" style="1"/>
    <col min="15101" max="15101" width="14.5546875" style="1" customWidth="1"/>
    <col min="15102" max="15102" width="15.5546875" style="1" customWidth="1"/>
    <col min="15103" max="15103" width="16.5546875" style="1" customWidth="1"/>
    <col min="15104" max="15104" width="11.33203125" style="1" customWidth="1"/>
    <col min="15105" max="15116" width="9.109375" style="1"/>
    <col min="15117" max="15117" width="11" style="1" customWidth="1"/>
    <col min="15118" max="15356" width="9.109375" style="1"/>
    <col min="15357" max="15357" width="14.5546875" style="1" customWidth="1"/>
    <col min="15358" max="15358" width="15.5546875" style="1" customWidth="1"/>
    <col min="15359" max="15359" width="16.5546875" style="1" customWidth="1"/>
    <col min="15360" max="15360" width="11.33203125" style="1" customWidth="1"/>
    <col min="15361" max="15372" width="9.109375" style="1"/>
    <col min="15373" max="15373" width="11" style="1" customWidth="1"/>
    <col min="15374" max="15612" width="9.109375" style="1"/>
    <col min="15613" max="15613" width="14.5546875" style="1" customWidth="1"/>
    <col min="15614" max="15614" width="15.5546875" style="1" customWidth="1"/>
    <col min="15615" max="15615" width="16.5546875" style="1" customWidth="1"/>
    <col min="15616" max="15616" width="11.33203125" style="1" customWidth="1"/>
    <col min="15617" max="15628" width="9.109375" style="1"/>
    <col min="15629" max="15629" width="11" style="1" customWidth="1"/>
    <col min="15630" max="15868" width="9.109375" style="1"/>
    <col min="15869" max="15869" width="14.5546875" style="1" customWidth="1"/>
    <col min="15870" max="15870" width="15.5546875" style="1" customWidth="1"/>
    <col min="15871" max="15871" width="16.5546875" style="1" customWidth="1"/>
    <col min="15872" max="15872" width="11.33203125" style="1" customWidth="1"/>
    <col min="15873" max="15884" width="9.109375" style="1"/>
    <col min="15885" max="15885" width="11" style="1" customWidth="1"/>
    <col min="15886" max="16124" width="9.109375" style="1"/>
    <col min="16125" max="16125" width="14.5546875" style="1" customWidth="1"/>
    <col min="16126" max="16126" width="15.5546875" style="1" customWidth="1"/>
    <col min="16127" max="16127" width="16.5546875" style="1" customWidth="1"/>
    <col min="16128" max="16128" width="11.33203125" style="1" customWidth="1"/>
    <col min="16129" max="16140" width="9.109375" style="1"/>
    <col min="16141" max="16141" width="11" style="1" customWidth="1"/>
    <col min="16142" max="16384" width="9.109375" style="1"/>
  </cols>
  <sheetData>
    <row r="1" spans="1:35" ht="15" customHeight="1" x14ac:dyDescent="0.3">
      <c r="A1" s="63" t="s">
        <v>18</v>
      </c>
      <c r="B1" s="63"/>
      <c r="C1" s="63"/>
      <c r="D1" s="63"/>
      <c r="E1" s="63"/>
      <c r="F1" s="63"/>
      <c r="G1" s="63"/>
      <c r="H1" s="63"/>
      <c r="I1" s="63"/>
      <c r="J1" s="63"/>
    </row>
    <row r="2" spans="1:35" ht="15" customHeight="1" x14ac:dyDescent="0.3">
      <c r="A2" s="63"/>
      <c r="B2" s="63"/>
      <c r="C2" s="63"/>
      <c r="D2" s="63"/>
      <c r="E2" s="63"/>
      <c r="F2" s="63"/>
      <c r="G2" s="63"/>
      <c r="H2" s="63"/>
      <c r="I2" s="63"/>
      <c r="J2" s="63"/>
    </row>
    <row r="3" spans="1:35" ht="15" customHeight="1" x14ac:dyDescent="0.3">
      <c r="A3" s="63"/>
      <c r="B3" s="63"/>
      <c r="C3" s="63"/>
      <c r="D3" s="63"/>
      <c r="E3" s="63"/>
      <c r="F3" s="63"/>
      <c r="G3" s="63"/>
      <c r="H3" s="63"/>
      <c r="I3" s="63"/>
      <c r="J3" s="63"/>
    </row>
    <row r="4" spans="1:35" ht="15" customHeight="1" x14ac:dyDescent="0.3">
      <c r="A4" s="63"/>
      <c r="B4" s="63"/>
      <c r="C4" s="63"/>
      <c r="D4" s="63"/>
      <c r="E4" s="63"/>
      <c r="F4" s="63"/>
      <c r="G4" s="63"/>
      <c r="H4" s="63"/>
      <c r="I4" s="63"/>
      <c r="J4" s="63"/>
    </row>
    <row r="5" spans="1:35" ht="15" customHeight="1" x14ac:dyDescent="0.3">
      <c r="A5" s="63"/>
      <c r="B5" s="63"/>
      <c r="C5" s="63"/>
      <c r="D5" s="63"/>
      <c r="E5" s="63"/>
      <c r="F5" s="63"/>
      <c r="G5" s="63"/>
      <c r="H5" s="63"/>
      <c r="I5" s="63"/>
      <c r="J5" s="63"/>
    </row>
    <row r="6" spans="1:35" ht="15" customHeight="1" x14ac:dyDescent="0.3">
      <c r="A6" s="63"/>
      <c r="B6" s="63"/>
      <c r="C6" s="63"/>
      <c r="D6" s="63"/>
      <c r="E6" s="63"/>
      <c r="F6" s="63"/>
      <c r="G6" s="63"/>
      <c r="H6" s="63"/>
      <c r="I6" s="63"/>
      <c r="J6" s="63"/>
    </row>
    <row r="7" spans="1:35" ht="15" customHeight="1" x14ac:dyDescent="0.3">
      <c r="A7" s="63"/>
      <c r="B7" s="63"/>
      <c r="C7" s="63"/>
      <c r="D7" s="63"/>
      <c r="E7" s="63"/>
      <c r="F7" s="63"/>
      <c r="G7" s="63"/>
      <c r="H7" s="63"/>
      <c r="I7" s="63"/>
      <c r="J7" s="63"/>
    </row>
    <row r="8" spans="1:35" ht="15" customHeight="1" x14ac:dyDescent="0.3">
      <c r="A8" s="63"/>
      <c r="B8" s="63"/>
      <c r="C8" s="63"/>
      <c r="D8" s="63"/>
      <c r="E8" s="63"/>
      <c r="F8" s="63"/>
      <c r="G8" s="63"/>
      <c r="H8" s="63"/>
      <c r="I8" s="63"/>
      <c r="J8" s="63"/>
    </row>
    <row r="9" spans="1:35" ht="15" customHeight="1" x14ac:dyDescent="0.3">
      <c r="A9" s="63"/>
      <c r="B9" s="63"/>
      <c r="C9" s="63"/>
      <c r="D9" s="63"/>
      <c r="E9" s="63"/>
      <c r="F9" s="63"/>
      <c r="G9" s="63"/>
      <c r="H9" s="63"/>
      <c r="I9" s="63"/>
      <c r="J9" s="63"/>
    </row>
    <row r="10" spans="1:35" ht="15" customHeight="1" x14ac:dyDescent="0.3">
      <c r="A10" s="63"/>
      <c r="B10" s="63"/>
      <c r="C10" s="63"/>
      <c r="D10" s="63"/>
      <c r="E10" s="63"/>
      <c r="F10" s="63"/>
      <c r="G10" s="63"/>
      <c r="H10" s="63"/>
      <c r="I10" s="63"/>
      <c r="J10" s="63"/>
      <c r="Z10"/>
      <c r="AA10"/>
      <c r="AH10" s="1"/>
      <c r="AI10" s="1"/>
    </row>
    <row r="11" spans="1:35" ht="15" customHeight="1" x14ac:dyDescent="0.3">
      <c r="A11" s="63"/>
      <c r="B11" s="63"/>
      <c r="C11" s="63"/>
      <c r="D11" s="63"/>
      <c r="E11" s="63"/>
      <c r="F11" s="63"/>
      <c r="G11" s="63"/>
      <c r="H11" s="63"/>
      <c r="I11" s="63"/>
      <c r="J11" s="63"/>
      <c r="Z11"/>
      <c r="AA11"/>
      <c r="AH11" s="1"/>
      <c r="AI11" s="1"/>
    </row>
    <row r="12" spans="1:35" ht="24.75" customHeight="1" x14ac:dyDescent="0.3">
      <c r="A12" s="63"/>
      <c r="B12" s="63"/>
      <c r="C12" s="63"/>
      <c r="D12" s="63"/>
      <c r="E12" s="63"/>
      <c r="F12" s="63"/>
      <c r="G12" s="63"/>
      <c r="H12" s="63"/>
      <c r="I12" s="63"/>
      <c r="J12" s="63"/>
      <c r="Z12"/>
      <c r="AA12"/>
      <c r="AH12" s="1"/>
      <c r="AI12" s="1"/>
    </row>
    <row r="13" spans="1:35" ht="15" customHeight="1" x14ac:dyDescent="0.3">
      <c r="A13" s="63"/>
      <c r="B13" s="63"/>
      <c r="C13" s="63"/>
      <c r="D13" s="63"/>
      <c r="E13" s="63"/>
      <c r="F13" s="63"/>
      <c r="G13" s="63"/>
      <c r="H13" s="63"/>
      <c r="I13" s="63"/>
      <c r="J13" s="63"/>
      <c r="Z13"/>
      <c r="AA13"/>
      <c r="AH13" s="1"/>
      <c r="AI13" s="1"/>
    </row>
    <row r="14" spans="1:35" ht="15" customHeight="1" x14ac:dyDescent="0.3">
      <c r="A14" s="63"/>
      <c r="B14" s="63"/>
      <c r="C14" s="63"/>
      <c r="D14" s="63"/>
      <c r="E14" s="63"/>
      <c r="F14" s="63"/>
      <c r="G14" s="63"/>
      <c r="H14" s="63"/>
      <c r="I14" s="63"/>
      <c r="J14" s="63"/>
      <c r="Z14"/>
      <c r="AA14"/>
      <c r="AH14" s="1"/>
      <c r="AI14" s="1"/>
    </row>
    <row r="15" spans="1:35" ht="15" customHeight="1" x14ac:dyDescent="0.3">
      <c r="A15" s="63"/>
      <c r="B15" s="63"/>
      <c r="C15" s="63"/>
      <c r="D15" s="63"/>
      <c r="E15" s="63"/>
      <c r="F15" s="63"/>
      <c r="G15" s="63"/>
      <c r="H15" s="63"/>
      <c r="I15" s="63"/>
      <c r="J15" s="63"/>
    </row>
    <row r="16" spans="1:35" ht="15" customHeight="1" x14ac:dyDescent="0.3">
      <c r="A16" s="63"/>
      <c r="B16" s="63"/>
      <c r="C16" s="63"/>
      <c r="D16" s="63"/>
      <c r="E16" s="63"/>
      <c r="F16" s="63"/>
      <c r="G16" s="63"/>
      <c r="H16" s="63"/>
      <c r="I16" s="63"/>
      <c r="J16" s="63"/>
    </row>
    <row r="17" spans="1:10" ht="15" customHeight="1" x14ac:dyDescent="0.3">
      <c r="A17" s="63"/>
      <c r="B17" s="63"/>
      <c r="C17" s="63"/>
      <c r="D17" s="63"/>
      <c r="E17" s="63"/>
      <c r="F17" s="63"/>
      <c r="G17" s="63"/>
      <c r="H17" s="63"/>
      <c r="I17" s="63"/>
      <c r="J17" s="63"/>
    </row>
    <row r="18" spans="1:10" ht="15" customHeight="1" x14ac:dyDescent="0.3">
      <c r="A18" s="63"/>
      <c r="B18" s="63"/>
      <c r="C18" s="63"/>
      <c r="D18" s="63"/>
      <c r="E18" s="63"/>
      <c r="F18" s="63"/>
      <c r="G18" s="63"/>
      <c r="H18" s="63"/>
      <c r="I18" s="63"/>
      <c r="J18" s="63"/>
    </row>
    <row r="19" spans="1:10" ht="15" customHeight="1" x14ac:dyDescent="0.3">
      <c r="A19" s="63"/>
      <c r="B19" s="63"/>
      <c r="C19" s="63"/>
      <c r="D19" s="63"/>
      <c r="E19" s="63"/>
      <c r="F19" s="63"/>
      <c r="G19" s="63"/>
      <c r="H19" s="63"/>
      <c r="I19" s="63"/>
      <c r="J19" s="63"/>
    </row>
    <row r="20" spans="1:10" ht="15" customHeight="1" x14ac:dyDescent="0.3">
      <c r="A20" s="63"/>
      <c r="B20" s="63"/>
      <c r="C20" s="63"/>
      <c r="D20" s="63"/>
      <c r="E20" s="63"/>
      <c r="F20" s="63"/>
      <c r="G20" s="63"/>
      <c r="H20" s="63"/>
      <c r="I20" s="63"/>
      <c r="J20" s="63"/>
    </row>
    <row r="21" spans="1:10" ht="15" customHeight="1" x14ac:dyDescent="0.3">
      <c r="A21" s="63"/>
      <c r="B21" s="63"/>
      <c r="C21" s="63"/>
      <c r="D21" s="63"/>
      <c r="E21" s="63"/>
      <c r="F21" s="63"/>
      <c r="G21" s="63"/>
      <c r="H21" s="63"/>
      <c r="I21" s="63"/>
      <c r="J21" s="63"/>
    </row>
    <row r="22" spans="1:10" ht="15" customHeight="1" x14ac:dyDescent="0.3">
      <c r="A22" s="63"/>
      <c r="B22" s="63"/>
      <c r="C22" s="63"/>
      <c r="D22" s="63"/>
      <c r="E22" s="63"/>
      <c r="F22" s="63"/>
      <c r="G22" s="63"/>
      <c r="H22" s="63"/>
      <c r="I22" s="63"/>
      <c r="J22" s="63"/>
    </row>
    <row r="23" spans="1:10" ht="15" customHeight="1" x14ac:dyDescent="0.3">
      <c r="A23" s="63"/>
      <c r="B23" s="63"/>
      <c r="C23" s="63"/>
      <c r="D23" s="63"/>
      <c r="E23" s="63"/>
      <c r="F23" s="63"/>
      <c r="G23" s="63"/>
      <c r="H23" s="63"/>
      <c r="I23" s="63"/>
      <c r="J23" s="63"/>
    </row>
    <row r="24" spans="1:10" ht="15" customHeight="1" x14ac:dyDescent="0.3">
      <c r="A24" s="63"/>
      <c r="B24" s="63"/>
      <c r="C24" s="63"/>
      <c r="D24" s="63"/>
      <c r="E24" s="63"/>
      <c r="F24" s="63"/>
      <c r="G24" s="63"/>
      <c r="H24" s="63"/>
      <c r="I24" s="63"/>
      <c r="J24" s="63"/>
    </row>
    <row r="25" spans="1:10" ht="15" customHeight="1" x14ac:dyDescent="0.3">
      <c r="A25" s="63"/>
      <c r="B25" s="63"/>
      <c r="C25" s="63"/>
      <c r="D25" s="63"/>
      <c r="E25" s="63"/>
      <c r="F25" s="63"/>
      <c r="G25" s="63"/>
      <c r="H25" s="63"/>
      <c r="I25" s="63"/>
      <c r="J25" s="63"/>
    </row>
    <row r="26" spans="1:10" ht="15" customHeight="1" x14ac:dyDescent="0.3">
      <c r="A26" s="63"/>
      <c r="B26" s="63"/>
      <c r="C26" s="63"/>
      <c r="D26" s="63"/>
      <c r="E26" s="63"/>
      <c r="F26" s="63"/>
      <c r="G26" s="63"/>
      <c r="H26" s="63"/>
      <c r="I26" s="63"/>
      <c r="J26" s="63"/>
    </row>
    <row r="27" spans="1:10" ht="15" customHeight="1" x14ac:dyDescent="0.3">
      <c r="A27" s="63"/>
      <c r="B27" s="63"/>
      <c r="C27" s="63"/>
      <c r="D27" s="63"/>
      <c r="E27" s="63"/>
      <c r="F27" s="63"/>
      <c r="G27" s="63"/>
      <c r="H27" s="63"/>
      <c r="I27" s="63"/>
      <c r="J27" s="63"/>
    </row>
    <row r="28" spans="1:10" ht="15" customHeight="1" x14ac:dyDescent="0.3">
      <c r="A28" s="63"/>
      <c r="B28" s="63"/>
      <c r="C28" s="63"/>
      <c r="D28" s="63"/>
      <c r="E28" s="63"/>
      <c r="F28" s="63"/>
      <c r="G28" s="63"/>
      <c r="H28" s="63"/>
      <c r="I28" s="63"/>
      <c r="J28" s="63"/>
    </row>
    <row r="29" spans="1:10" ht="15" customHeight="1" x14ac:dyDescent="0.3">
      <c r="A29" s="63"/>
      <c r="B29" s="63"/>
      <c r="C29" s="63"/>
      <c r="D29" s="63"/>
      <c r="E29" s="63"/>
      <c r="F29" s="63"/>
      <c r="G29" s="63"/>
      <c r="H29" s="63"/>
      <c r="I29" s="63"/>
      <c r="J29" s="63"/>
    </row>
    <row r="30" spans="1:10" ht="15" customHeight="1" x14ac:dyDescent="0.3">
      <c r="A30" s="63"/>
      <c r="B30" s="63"/>
      <c r="C30" s="63"/>
      <c r="D30" s="63"/>
      <c r="E30" s="63"/>
      <c r="F30" s="63"/>
      <c r="G30" s="63"/>
      <c r="H30" s="63"/>
      <c r="I30" s="63"/>
      <c r="J30" s="63"/>
    </row>
    <row r="31" spans="1:10" ht="15" customHeight="1" x14ac:dyDescent="0.3">
      <c r="A31" s="63"/>
      <c r="B31" s="63"/>
      <c r="C31" s="63"/>
      <c r="D31" s="63"/>
      <c r="E31" s="63"/>
      <c r="F31" s="63"/>
      <c r="G31" s="63"/>
      <c r="H31" s="63"/>
      <c r="I31" s="63"/>
      <c r="J31" s="63"/>
    </row>
    <row r="32" spans="1:10" ht="15" customHeight="1" x14ac:dyDescent="0.3">
      <c r="A32" s="63"/>
      <c r="B32" s="63"/>
      <c r="C32" s="63"/>
      <c r="D32" s="63"/>
      <c r="E32" s="63"/>
      <c r="F32" s="63"/>
      <c r="G32" s="63"/>
      <c r="H32" s="63"/>
      <c r="I32" s="63"/>
      <c r="J32" s="63"/>
    </row>
    <row r="33" spans="1:10" ht="15" customHeight="1" x14ac:dyDescent="0.3">
      <c r="A33" s="63"/>
      <c r="B33" s="63"/>
      <c r="C33" s="63"/>
      <c r="D33" s="63"/>
      <c r="E33" s="63"/>
      <c r="F33" s="63"/>
      <c r="G33" s="63"/>
      <c r="H33" s="63"/>
      <c r="I33" s="63"/>
      <c r="J33" s="63"/>
    </row>
    <row r="34" spans="1:10" ht="15" customHeight="1" x14ac:dyDescent="0.3">
      <c r="A34" s="63"/>
      <c r="B34" s="63"/>
      <c r="C34" s="63"/>
      <c r="D34" s="63"/>
      <c r="E34" s="63"/>
      <c r="F34" s="63"/>
      <c r="G34" s="63"/>
      <c r="H34" s="63"/>
      <c r="I34" s="63"/>
      <c r="J34" s="63"/>
    </row>
    <row r="35" spans="1:10" ht="15" customHeight="1" x14ac:dyDescent="0.3">
      <c r="A35" s="63"/>
      <c r="B35" s="63"/>
      <c r="C35" s="63"/>
      <c r="D35" s="63"/>
      <c r="E35" s="63"/>
      <c r="F35" s="63"/>
      <c r="G35" s="63"/>
      <c r="H35" s="63"/>
      <c r="I35" s="63"/>
      <c r="J35" s="63"/>
    </row>
    <row r="36" spans="1:10" ht="15" customHeight="1" x14ac:dyDescent="0.3">
      <c r="A36" s="63"/>
      <c r="B36" s="63"/>
      <c r="C36" s="63"/>
      <c r="D36" s="63"/>
      <c r="E36" s="63"/>
      <c r="F36" s="63"/>
      <c r="G36" s="63"/>
      <c r="H36" s="63"/>
      <c r="I36" s="63"/>
      <c r="J36" s="63"/>
    </row>
    <row r="37" spans="1:10" ht="15" customHeight="1" x14ac:dyDescent="0.3">
      <c r="A37" s="63"/>
      <c r="B37" s="63"/>
      <c r="C37" s="63"/>
      <c r="D37" s="63"/>
      <c r="E37" s="63"/>
      <c r="F37" s="63"/>
      <c r="G37" s="63"/>
      <c r="H37" s="63"/>
      <c r="I37" s="63"/>
      <c r="J37" s="63"/>
    </row>
    <row r="38" spans="1:10" ht="15" customHeight="1" x14ac:dyDescent="0.3">
      <c r="A38" s="63"/>
      <c r="B38" s="63"/>
      <c r="C38" s="63"/>
      <c r="D38" s="63"/>
      <c r="E38" s="63"/>
      <c r="F38" s="63"/>
      <c r="G38" s="63"/>
      <c r="H38" s="63"/>
      <c r="I38" s="63"/>
      <c r="J38" s="63"/>
    </row>
    <row r="39" spans="1:10" ht="15" customHeight="1" x14ac:dyDescent="0.3">
      <c r="A39" s="63"/>
      <c r="B39" s="63"/>
      <c r="C39" s="63"/>
      <c r="D39" s="63"/>
      <c r="E39" s="63"/>
      <c r="F39" s="63"/>
      <c r="G39" s="63"/>
      <c r="H39" s="63"/>
      <c r="I39" s="63"/>
      <c r="J39" s="63"/>
    </row>
    <row r="40" spans="1:10" ht="15" customHeight="1" x14ac:dyDescent="0.3">
      <c r="A40" s="63"/>
      <c r="B40" s="63"/>
      <c r="C40" s="63"/>
      <c r="D40" s="63"/>
      <c r="E40" s="63"/>
      <c r="F40" s="63"/>
      <c r="G40" s="63"/>
      <c r="H40" s="63"/>
      <c r="I40" s="63"/>
      <c r="J40" s="63"/>
    </row>
    <row r="41" spans="1:10" ht="15" customHeight="1" x14ac:dyDescent="0.3">
      <c r="A41" s="63"/>
      <c r="B41" s="63"/>
      <c r="C41" s="63"/>
      <c r="D41" s="63"/>
      <c r="E41" s="63"/>
      <c r="F41" s="63"/>
      <c r="G41" s="63"/>
      <c r="H41" s="63"/>
      <c r="I41" s="63"/>
      <c r="J41" s="63"/>
    </row>
    <row r="42" spans="1:10" ht="15" customHeight="1" x14ac:dyDescent="0.3">
      <c r="A42" s="63"/>
      <c r="B42" s="63"/>
      <c r="C42" s="63"/>
      <c r="D42" s="63"/>
      <c r="E42" s="63"/>
      <c r="F42" s="63"/>
      <c r="G42" s="63"/>
      <c r="H42" s="63"/>
      <c r="I42" s="63"/>
      <c r="J42" s="63"/>
    </row>
    <row r="43" spans="1:10" ht="15" customHeight="1" x14ac:dyDescent="0.3">
      <c r="A43" s="63"/>
      <c r="B43" s="63"/>
      <c r="C43" s="63"/>
      <c r="D43" s="63"/>
      <c r="E43" s="63"/>
      <c r="F43" s="63"/>
      <c r="G43" s="63"/>
      <c r="H43" s="63"/>
      <c r="I43" s="63"/>
      <c r="J43" s="63"/>
    </row>
    <row r="44" spans="1:10" ht="15" customHeight="1" x14ac:dyDescent="0.3">
      <c r="A44" s="63"/>
      <c r="B44" s="63"/>
      <c r="C44" s="63"/>
      <c r="D44" s="63"/>
      <c r="E44" s="63"/>
      <c r="F44" s="63"/>
      <c r="G44" s="63"/>
      <c r="H44" s="63"/>
      <c r="I44" s="63"/>
      <c r="J44" s="63"/>
    </row>
    <row r="45" spans="1:10" ht="15" customHeight="1" x14ac:dyDescent="0.3">
      <c r="A45" s="63"/>
      <c r="B45" s="63"/>
      <c r="C45" s="63"/>
      <c r="D45" s="63"/>
      <c r="E45" s="63"/>
      <c r="F45" s="63"/>
      <c r="G45" s="63"/>
      <c r="H45" s="63"/>
      <c r="I45" s="63"/>
      <c r="J45" s="63"/>
    </row>
    <row r="46" spans="1:10" ht="15" customHeight="1" x14ac:dyDescent="0.3">
      <c r="A46" s="63"/>
      <c r="B46" s="63"/>
      <c r="C46" s="63"/>
      <c r="D46" s="63"/>
      <c r="E46" s="63"/>
      <c r="F46" s="63"/>
      <c r="G46" s="63"/>
      <c r="H46" s="63"/>
      <c r="I46" s="63"/>
      <c r="J46" s="63"/>
    </row>
    <row r="47" spans="1:10" ht="15" customHeight="1" x14ac:dyDescent="0.3">
      <c r="A47" s="63"/>
      <c r="B47" s="63"/>
      <c r="C47" s="63"/>
      <c r="D47" s="63"/>
      <c r="E47" s="63"/>
      <c r="F47" s="63"/>
      <c r="G47" s="63"/>
      <c r="H47" s="63"/>
      <c r="I47" s="63"/>
      <c r="J47" s="63"/>
    </row>
    <row r="48" spans="1:10" ht="15" customHeight="1" x14ac:dyDescent="0.3">
      <c r="A48" s="63"/>
      <c r="B48" s="63"/>
      <c r="C48" s="63"/>
      <c r="D48" s="63"/>
      <c r="E48" s="63"/>
      <c r="F48" s="63"/>
      <c r="G48" s="63"/>
      <c r="H48" s="63"/>
      <c r="I48" s="63"/>
      <c r="J48" s="63"/>
    </row>
    <row r="49" spans="1:10" ht="15" customHeight="1" x14ac:dyDescent="0.3">
      <c r="A49" s="27"/>
      <c r="B49" s="27"/>
      <c r="C49" s="27"/>
      <c r="D49" s="27"/>
      <c r="E49" s="27"/>
      <c r="F49" s="27"/>
      <c r="G49" s="27"/>
      <c r="H49" s="27"/>
      <c r="I49" s="27"/>
    </row>
    <row r="50" spans="1:10" ht="16.2" x14ac:dyDescent="0.35">
      <c r="A50" s="2" t="s">
        <v>121</v>
      </c>
    </row>
    <row r="51" spans="1:10" ht="15" customHeight="1" x14ac:dyDescent="0.3">
      <c r="A51" s="61" t="s">
        <v>91</v>
      </c>
      <c r="B51" s="61"/>
      <c r="C51" s="61"/>
      <c r="D51" s="61"/>
      <c r="E51" s="61"/>
      <c r="F51" s="61"/>
      <c r="G51" s="61"/>
      <c r="H51" s="61"/>
      <c r="I51" s="61"/>
      <c r="J51" s="61"/>
    </row>
    <row r="52" spans="1:10" ht="15" customHeight="1" x14ac:dyDescent="0.3">
      <c r="A52" s="61"/>
      <c r="B52" s="61"/>
      <c r="C52" s="61"/>
      <c r="D52" s="61"/>
      <c r="E52" s="61"/>
      <c r="F52" s="61"/>
      <c r="G52" s="61"/>
      <c r="H52" s="61"/>
      <c r="I52" s="61"/>
      <c r="J52" s="61"/>
    </row>
    <row r="69" spans="1:44" x14ac:dyDescent="0.3">
      <c r="A69" s="3" t="s">
        <v>0</v>
      </c>
      <c r="B69" s="3">
        <v>2010</v>
      </c>
      <c r="C69" s="3">
        <f>B69+1</f>
        <v>2011</v>
      </c>
      <c r="D69" s="3">
        <f t="shared" ref="D69:J69" si="0">C69+1</f>
        <v>2012</v>
      </c>
      <c r="E69" s="3">
        <f t="shared" si="0"/>
        <v>2013</v>
      </c>
      <c r="F69" s="3">
        <f t="shared" si="0"/>
        <v>2014</v>
      </c>
      <c r="G69" s="3">
        <f t="shared" si="0"/>
        <v>2015</v>
      </c>
      <c r="H69" s="3">
        <f t="shared" si="0"/>
        <v>2016</v>
      </c>
      <c r="I69" s="3">
        <f t="shared" si="0"/>
        <v>2017</v>
      </c>
      <c r="J69" s="3">
        <f t="shared" si="0"/>
        <v>2018</v>
      </c>
      <c r="AH69" s="1"/>
      <c r="AI69" s="1"/>
      <c r="AQ69"/>
      <c r="AR69"/>
    </row>
    <row r="70" spans="1:44" x14ac:dyDescent="0.3">
      <c r="A70" s="9" t="s">
        <v>2</v>
      </c>
      <c r="B70" s="3">
        <f>SUM(Calculate!C6:C7)</f>
        <v>5</v>
      </c>
      <c r="C70" s="3">
        <f>SUM(Calculate!D6:D7)</f>
        <v>8</v>
      </c>
      <c r="D70" s="3">
        <f>SUM(Calculate!E6:E7)</f>
        <v>7</v>
      </c>
      <c r="E70" s="3">
        <f>SUM(Calculate!F6:F7)</f>
        <v>1</v>
      </c>
      <c r="F70" s="3">
        <f>SUM(Calculate!G6:G7)</f>
        <v>0</v>
      </c>
      <c r="G70" s="3">
        <f>SUM(Calculate!H6:H7)</f>
        <v>0</v>
      </c>
      <c r="H70" s="3">
        <f>SUM(Calculate!I6:I7)</f>
        <v>2</v>
      </c>
      <c r="I70" s="3">
        <f>SUM(Calculate!J6:J7)</f>
        <v>4</v>
      </c>
      <c r="J70" s="3">
        <f>SUM(Calculate!K6:K7)</f>
        <v>0</v>
      </c>
      <c r="AH70" s="1"/>
      <c r="AI70" s="1"/>
      <c r="AQ70"/>
      <c r="AR70"/>
    </row>
    <row r="71" spans="1:44" x14ac:dyDescent="0.3">
      <c r="A71" s="1" t="s">
        <v>73</v>
      </c>
      <c r="B71" s="71" t="s">
        <v>74</v>
      </c>
      <c r="C71" s="71"/>
      <c r="D71" s="1">
        <f>Calculate!S7</f>
        <v>6</v>
      </c>
      <c r="E71" s="1" t="s">
        <v>44</v>
      </c>
      <c r="F71" s="71" t="s">
        <v>75</v>
      </c>
      <c r="G71" s="71"/>
      <c r="H71" s="1">
        <f>Calculate!S6</f>
        <v>21</v>
      </c>
      <c r="I71" s="1" t="s">
        <v>44</v>
      </c>
      <c r="AH71" s="1"/>
      <c r="AI71" s="1"/>
      <c r="AQ71"/>
      <c r="AR71"/>
    </row>
    <row r="72" spans="1:44" x14ac:dyDescent="0.3">
      <c r="B72" s="29"/>
      <c r="C72" s="29"/>
      <c r="D72" s="44">
        <f>D71/(D71+H71)</f>
        <v>0.22222222222222221</v>
      </c>
      <c r="H72" s="45">
        <f>H71/(D71+H71)</f>
        <v>0.77777777777777779</v>
      </c>
      <c r="AH72" s="1"/>
      <c r="AI72" s="1"/>
      <c r="AQ72"/>
      <c r="AR72"/>
    </row>
    <row r="73" spans="1:44" ht="15.75" customHeight="1" x14ac:dyDescent="0.3">
      <c r="A73" s="64" t="s">
        <v>132</v>
      </c>
      <c r="B73" s="64"/>
      <c r="C73" s="64"/>
      <c r="D73" s="64"/>
      <c r="E73" s="64"/>
      <c r="F73" s="64"/>
      <c r="G73" s="64"/>
      <c r="H73" s="64"/>
      <c r="I73" s="64"/>
      <c r="J73" s="64"/>
    </row>
    <row r="75" spans="1:44" ht="15" customHeight="1" x14ac:dyDescent="0.3">
      <c r="A75" s="61" t="s">
        <v>94</v>
      </c>
      <c r="B75" s="61"/>
      <c r="C75" s="61"/>
      <c r="D75" s="61"/>
      <c r="E75" s="61"/>
      <c r="F75" s="61"/>
      <c r="G75" s="61"/>
      <c r="H75" s="61"/>
      <c r="I75" s="61"/>
      <c r="J75" s="61"/>
    </row>
    <row r="76" spans="1:44" ht="15" customHeight="1" x14ac:dyDescent="0.3">
      <c r="A76" s="61"/>
      <c r="B76" s="61"/>
      <c r="C76" s="61"/>
      <c r="D76" s="61"/>
      <c r="E76" s="61"/>
      <c r="F76" s="61"/>
      <c r="G76" s="61"/>
      <c r="H76" s="61"/>
      <c r="I76" s="61"/>
      <c r="J76" s="61"/>
    </row>
    <row r="93" spans="1:44" x14ac:dyDescent="0.3">
      <c r="A93" s="3" t="s">
        <v>0</v>
      </c>
      <c r="B93" s="3">
        <v>2010</v>
      </c>
      <c r="C93" s="3">
        <f t="shared" ref="C93:J93" si="1">B93+1</f>
        <v>2011</v>
      </c>
      <c r="D93" s="3">
        <f t="shared" si="1"/>
        <v>2012</v>
      </c>
      <c r="E93" s="3">
        <f t="shared" si="1"/>
        <v>2013</v>
      </c>
      <c r="F93" s="3">
        <f t="shared" si="1"/>
        <v>2014</v>
      </c>
      <c r="G93" s="3">
        <f t="shared" si="1"/>
        <v>2015</v>
      </c>
      <c r="H93" s="3">
        <f t="shared" si="1"/>
        <v>2016</v>
      </c>
      <c r="I93" s="3">
        <f t="shared" si="1"/>
        <v>2017</v>
      </c>
      <c r="J93" s="3">
        <f t="shared" si="1"/>
        <v>2018</v>
      </c>
      <c r="AH93" s="1"/>
      <c r="AI93" s="1"/>
      <c r="AQ93"/>
      <c r="AR93"/>
    </row>
    <row r="94" spans="1:44" x14ac:dyDescent="0.3">
      <c r="A94" s="69" t="s">
        <v>3</v>
      </c>
      <c r="B94" s="3">
        <f>Calculate!AU3</f>
        <v>3</v>
      </c>
      <c r="C94" s="3">
        <f>Calculate!AU4</f>
        <v>3</v>
      </c>
      <c r="D94" s="3">
        <f>Calculate!AU5</f>
        <v>3</v>
      </c>
      <c r="E94" s="3">
        <f>Calculate!AU6</f>
        <v>1</v>
      </c>
      <c r="F94" s="3">
        <f>Calculate!AU7</f>
        <v>0</v>
      </c>
      <c r="G94" s="3">
        <f>Calculate!AU8</f>
        <v>0</v>
      </c>
      <c r="H94" s="3">
        <f>Calculate!AU9</f>
        <v>2</v>
      </c>
      <c r="I94" s="3">
        <f>Calculate!AU10</f>
        <v>4</v>
      </c>
      <c r="J94" s="3">
        <f>Calculate!AU11</f>
        <v>0</v>
      </c>
      <c r="AH94" s="1"/>
      <c r="AI94" s="1"/>
      <c r="AQ94"/>
      <c r="AR94"/>
    </row>
    <row r="95" spans="1:44" x14ac:dyDescent="0.3">
      <c r="A95" s="70"/>
      <c r="B95" s="50">
        <f t="shared" ref="B95:J95" si="2">IFERROR(B94/(B94+B96),0)</f>
        <v>0.6</v>
      </c>
      <c r="C95" s="50">
        <f t="shared" si="2"/>
        <v>0.375</v>
      </c>
      <c r="D95" s="50">
        <f t="shared" si="2"/>
        <v>0.42857142857142855</v>
      </c>
      <c r="E95" s="50">
        <f t="shared" si="2"/>
        <v>1</v>
      </c>
      <c r="F95" s="50">
        <f t="shared" si="2"/>
        <v>0</v>
      </c>
      <c r="G95" s="50">
        <f t="shared" si="2"/>
        <v>0</v>
      </c>
      <c r="H95" s="50">
        <f t="shared" si="2"/>
        <v>1</v>
      </c>
      <c r="I95" s="50">
        <f t="shared" si="2"/>
        <v>1</v>
      </c>
      <c r="J95" s="50">
        <f t="shared" si="2"/>
        <v>0</v>
      </c>
      <c r="AH95" s="1"/>
      <c r="AI95" s="1"/>
      <c r="AQ95"/>
      <c r="AR95"/>
    </row>
    <row r="96" spans="1:44" x14ac:dyDescent="0.3">
      <c r="A96" s="69" t="s">
        <v>4</v>
      </c>
      <c r="B96" s="3">
        <f>Calculate!AV3</f>
        <v>2</v>
      </c>
      <c r="C96" s="3">
        <f>Calculate!AV4</f>
        <v>5</v>
      </c>
      <c r="D96" s="3">
        <f>Calculate!AV5</f>
        <v>4</v>
      </c>
      <c r="E96" s="3">
        <f>Calculate!AV6</f>
        <v>0</v>
      </c>
      <c r="F96" s="3">
        <f>Calculate!AV7</f>
        <v>0</v>
      </c>
      <c r="G96" s="3">
        <f>Calculate!AV8</f>
        <v>0</v>
      </c>
      <c r="H96" s="3">
        <f>Calculate!AV9</f>
        <v>0</v>
      </c>
      <c r="I96" s="3">
        <f>Calculate!AV10</f>
        <v>0</v>
      </c>
      <c r="J96" s="3">
        <f>Calculate!AV11</f>
        <v>0</v>
      </c>
      <c r="AH96" s="1"/>
      <c r="AI96" s="1"/>
      <c r="AQ96"/>
      <c r="AR96"/>
    </row>
    <row r="97" spans="1:44" x14ac:dyDescent="0.3">
      <c r="A97" s="70"/>
      <c r="B97" s="50">
        <f t="shared" ref="B97:J97" si="3">IFERROR(B96/(B94+B96),0)</f>
        <v>0.4</v>
      </c>
      <c r="C97" s="50">
        <f t="shared" si="3"/>
        <v>0.625</v>
      </c>
      <c r="D97" s="50">
        <f t="shared" si="3"/>
        <v>0.5714285714285714</v>
      </c>
      <c r="E97" s="50">
        <f t="shared" si="3"/>
        <v>0</v>
      </c>
      <c r="F97" s="50">
        <f t="shared" si="3"/>
        <v>0</v>
      </c>
      <c r="G97" s="50">
        <f t="shared" si="3"/>
        <v>0</v>
      </c>
      <c r="H97" s="50">
        <f t="shared" si="3"/>
        <v>0</v>
      </c>
      <c r="I97" s="50">
        <f t="shared" si="3"/>
        <v>0</v>
      </c>
      <c r="J97" s="50">
        <f t="shared" si="3"/>
        <v>0</v>
      </c>
      <c r="AH97" s="1"/>
      <c r="AI97" s="1"/>
      <c r="AQ97"/>
      <c r="AR97"/>
    </row>
    <row r="98" spans="1:44" ht="15" customHeight="1" x14ac:dyDescent="0.3">
      <c r="A98" s="1" t="s">
        <v>5</v>
      </c>
    </row>
    <row r="99" spans="1:44" ht="15.75" customHeight="1" x14ac:dyDescent="0.3">
      <c r="A99" s="64" t="s">
        <v>133</v>
      </c>
      <c r="B99" s="64"/>
      <c r="C99" s="64"/>
      <c r="D99" s="64"/>
      <c r="E99" s="64"/>
      <c r="F99" s="64"/>
      <c r="G99" s="64"/>
      <c r="H99" s="64"/>
      <c r="I99" s="64"/>
      <c r="J99" s="64"/>
    </row>
    <row r="100" spans="1:44" ht="15.75" customHeight="1" x14ac:dyDescent="0.3">
      <c r="A100" s="66" t="s">
        <v>242</v>
      </c>
      <c r="B100" s="66"/>
      <c r="C100" s="66"/>
      <c r="D100" s="66"/>
      <c r="E100" s="66"/>
      <c r="F100" s="66"/>
      <c r="G100" s="66"/>
      <c r="H100" s="66"/>
      <c r="I100" s="66"/>
      <c r="J100" s="66"/>
    </row>
    <row r="101" spans="1:44" ht="15.75" customHeight="1" x14ac:dyDescent="0.3">
      <c r="A101" s="66"/>
      <c r="B101" s="66"/>
      <c r="C101" s="66"/>
      <c r="D101" s="66"/>
      <c r="E101" s="66"/>
      <c r="F101" s="66"/>
      <c r="G101" s="66"/>
      <c r="H101" s="66"/>
      <c r="I101" s="66"/>
      <c r="J101" s="66"/>
    </row>
    <row r="102" spans="1:44" ht="15" customHeight="1" x14ac:dyDescent="0.3">
      <c r="A102" s="61" t="s">
        <v>101</v>
      </c>
      <c r="B102" s="61"/>
      <c r="C102" s="61"/>
      <c r="D102" s="61"/>
      <c r="E102" s="61"/>
      <c r="F102" s="61"/>
      <c r="G102" s="61"/>
      <c r="H102" s="61"/>
      <c r="I102" s="61"/>
      <c r="J102" s="61"/>
    </row>
    <row r="103" spans="1:44" ht="15" customHeight="1" x14ac:dyDescent="0.3">
      <c r="A103" s="61"/>
      <c r="B103" s="61"/>
      <c r="C103" s="61"/>
      <c r="D103" s="61"/>
      <c r="E103" s="61"/>
      <c r="F103" s="61"/>
      <c r="G103" s="61"/>
      <c r="H103" s="61"/>
      <c r="I103" s="61"/>
      <c r="J103" s="61"/>
    </row>
    <row r="104" spans="1:44" ht="15.75" customHeight="1" x14ac:dyDescent="0.3">
      <c r="A104" s="61"/>
      <c r="B104" s="61"/>
      <c r="C104" s="61"/>
      <c r="D104" s="61"/>
      <c r="E104" s="61"/>
      <c r="F104" s="61"/>
      <c r="G104" s="61"/>
      <c r="H104" s="61"/>
      <c r="I104" s="61"/>
      <c r="J104" s="61"/>
    </row>
    <row r="122" spans="1:10" ht="15.75" customHeight="1" x14ac:dyDescent="0.3">
      <c r="A122" s="64" t="s">
        <v>244</v>
      </c>
      <c r="B122" s="64"/>
      <c r="C122" s="64"/>
      <c r="D122" s="64"/>
      <c r="E122" s="64"/>
      <c r="F122" s="64"/>
      <c r="G122" s="64"/>
      <c r="H122" s="64"/>
      <c r="I122" s="64"/>
    </row>
    <row r="123" spans="1:10" x14ac:dyDescent="0.3">
      <c r="A123" s="64"/>
      <c r="B123" s="64"/>
      <c r="C123" s="64"/>
      <c r="D123" s="64"/>
      <c r="E123" s="64"/>
      <c r="F123" s="64"/>
      <c r="G123" s="64"/>
      <c r="H123" s="64"/>
      <c r="I123" s="64"/>
    </row>
    <row r="125" spans="1:10" ht="15" customHeight="1" x14ac:dyDescent="0.3">
      <c r="A125" s="61" t="s">
        <v>102</v>
      </c>
      <c r="B125" s="61"/>
      <c r="C125" s="61"/>
      <c r="D125" s="61"/>
      <c r="E125" s="61"/>
      <c r="F125" s="61"/>
      <c r="G125" s="61"/>
      <c r="H125" s="61"/>
      <c r="I125" s="61"/>
      <c r="J125" s="61"/>
    </row>
    <row r="126" spans="1:10" ht="15" customHeight="1" x14ac:dyDescent="0.3">
      <c r="A126" s="61"/>
      <c r="B126" s="61"/>
      <c r="C126" s="61"/>
      <c r="D126" s="61"/>
      <c r="E126" s="61"/>
      <c r="F126" s="61"/>
      <c r="G126" s="61"/>
      <c r="H126" s="61"/>
      <c r="I126" s="61"/>
      <c r="J126" s="61"/>
    </row>
    <row r="127" spans="1:10" ht="15" customHeight="1" x14ac:dyDescent="0.3">
      <c r="A127" s="61"/>
      <c r="B127" s="61"/>
      <c r="C127" s="61"/>
      <c r="D127" s="61"/>
      <c r="E127" s="61"/>
      <c r="F127" s="61"/>
      <c r="G127" s="61"/>
      <c r="H127" s="61"/>
      <c r="I127" s="61"/>
      <c r="J127" s="61"/>
    </row>
    <row r="128" spans="1:10" ht="15" customHeight="1" x14ac:dyDescent="0.3">
      <c r="A128" s="61"/>
      <c r="B128" s="61"/>
      <c r="C128" s="61"/>
      <c r="D128" s="61"/>
      <c r="E128" s="61"/>
      <c r="F128" s="61"/>
      <c r="G128" s="61"/>
      <c r="H128" s="61"/>
      <c r="I128" s="61"/>
      <c r="J128" s="61"/>
    </row>
    <row r="129" spans="1:9" ht="15" customHeight="1" x14ac:dyDescent="0.3">
      <c r="A129" s="6"/>
      <c r="B129" s="6"/>
      <c r="C129" s="6"/>
      <c r="D129" s="6"/>
      <c r="E129" s="6"/>
      <c r="F129" s="6"/>
      <c r="G129" s="6"/>
      <c r="H129" s="6"/>
      <c r="I129" s="6"/>
    </row>
    <row r="146" spans="1:10" ht="15.75" customHeight="1" x14ac:dyDescent="0.3">
      <c r="A146" s="64" t="s">
        <v>243</v>
      </c>
      <c r="B146" s="64"/>
      <c r="C146" s="64"/>
      <c r="D146" s="64"/>
      <c r="E146" s="64"/>
      <c r="F146" s="64"/>
      <c r="G146" s="64"/>
      <c r="H146" s="64"/>
      <c r="I146" s="64"/>
      <c r="J146" s="64"/>
    </row>
    <row r="147" spans="1:10" ht="15" customHeight="1" x14ac:dyDescent="0.3">
      <c r="A147" s="64"/>
      <c r="B147" s="64"/>
      <c r="C147" s="64"/>
      <c r="D147" s="64"/>
      <c r="E147" s="64"/>
      <c r="F147" s="64"/>
      <c r="G147" s="64"/>
      <c r="H147" s="64"/>
      <c r="I147" s="64"/>
      <c r="J147" s="64"/>
    </row>
    <row r="150" spans="1:10" ht="15.6" x14ac:dyDescent="0.3">
      <c r="A150" s="2" t="s">
        <v>54</v>
      </c>
    </row>
    <row r="151" spans="1:10" ht="15" customHeight="1" x14ac:dyDescent="0.3">
      <c r="A151" s="61" t="s">
        <v>183</v>
      </c>
      <c r="B151" s="61"/>
      <c r="C151" s="61"/>
      <c r="D151" s="61"/>
      <c r="E151" s="61"/>
      <c r="F151" s="61"/>
      <c r="G151" s="61"/>
      <c r="H151" s="61"/>
      <c r="I151" s="61"/>
      <c r="J151" s="61"/>
    </row>
    <row r="152" spans="1:10" ht="15" customHeight="1" x14ac:dyDescent="0.3">
      <c r="A152" s="61"/>
      <c r="B152" s="61"/>
      <c r="C152" s="61"/>
      <c r="D152" s="61"/>
      <c r="E152" s="61"/>
      <c r="F152" s="61"/>
      <c r="G152" s="61"/>
      <c r="H152" s="61"/>
      <c r="I152" s="61"/>
      <c r="J152" s="61"/>
    </row>
    <row r="168" spans="1:44" x14ac:dyDescent="0.3">
      <c r="A168" s="3" t="s">
        <v>0</v>
      </c>
      <c r="B168" s="3">
        <v>2010</v>
      </c>
      <c r="C168" s="3">
        <f>B168+1</f>
        <v>2011</v>
      </c>
      <c r="D168" s="3">
        <f t="shared" ref="D168:J168" si="4">C168+1</f>
        <v>2012</v>
      </c>
      <c r="E168" s="3">
        <f t="shared" si="4"/>
        <v>2013</v>
      </c>
      <c r="F168" s="3">
        <f t="shared" si="4"/>
        <v>2014</v>
      </c>
      <c r="G168" s="3">
        <f t="shared" si="4"/>
        <v>2015</v>
      </c>
      <c r="H168" s="3">
        <f t="shared" si="4"/>
        <v>2016</v>
      </c>
      <c r="I168" s="3">
        <f t="shared" si="4"/>
        <v>2017</v>
      </c>
      <c r="J168" s="3">
        <f t="shared" si="4"/>
        <v>2018</v>
      </c>
      <c r="AH168" s="1"/>
      <c r="AI168" s="1"/>
      <c r="AQ168"/>
      <c r="AR168"/>
    </row>
    <row r="169" spans="1:44" x14ac:dyDescent="0.3">
      <c r="A169" s="8" t="s">
        <v>49</v>
      </c>
      <c r="B169" s="3">
        <f>Calculate!C69</f>
        <v>1</v>
      </c>
      <c r="C169" s="3">
        <f>Calculate!D69</f>
        <v>2</v>
      </c>
      <c r="D169" s="3">
        <f>Calculate!E69</f>
        <v>3</v>
      </c>
      <c r="E169" s="3">
        <f>Calculate!F69</f>
        <v>0</v>
      </c>
      <c r="F169" s="3">
        <f>Calculate!G69</f>
        <v>0</v>
      </c>
      <c r="G169" s="3">
        <f>Calculate!H69</f>
        <v>0</v>
      </c>
      <c r="H169" s="3">
        <f>Calculate!I69</f>
        <v>0</v>
      </c>
      <c r="I169" s="3">
        <f>Calculate!J69</f>
        <v>3</v>
      </c>
      <c r="J169" s="3">
        <f>Calculate!K69</f>
        <v>0</v>
      </c>
      <c r="AH169" s="1"/>
      <c r="AI169" s="1"/>
      <c r="AQ169"/>
      <c r="AR169"/>
    </row>
    <row r="170" spans="1:44" x14ac:dyDescent="0.3">
      <c r="A170" s="1" t="s">
        <v>1</v>
      </c>
      <c r="B170" s="71" t="s">
        <v>76</v>
      </c>
      <c r="C170" s="71"/>
      <c r="D170" s="1">
        <f>SUM(Calculate!C69:R69)</f>
        <v>9</v>
      </c>
      <c r="E170" s="1" t="s">
        <v>44</v>
      </c>
      <c r="AH170" s="1"/>
      <c r="AI170" s="1"/>
      <c r="AQ170"/>
      <c r="AR170"/>
    </row>
    <row r="171" spans="1:44" ht="15.75" customHeight="1" x14ac:dyDescent="0.3">
      <c r="A171" s="64" t="s">
        <v>134</v>
      </c>
      <c r="B171" s="64"/>
      <c r="C171" s="64"/>
      <c r="D171" s="64"/>
      <c r="E171" s="64"/>
      <c r="F171" s="64"/>
      <c r="G171" s="64"/>
      <c r="H171" s="64"/>
      <c r="I171" s="64"/>
      <c r="J171" s="64"/>
    </row>
    <row r="172" spans="1:44" ht="15.6" x14ac:dyDescent="0.3">
      <c r="A172" s="7"/>
      <c r="B172" s="7"/>
      <c r="C172" s="7"/>
      <c r="D172" s="7"/>
      <c r="E172" s="7"/>
      <c r="F172" s="7"/>
      <c r="G172" s="7"/>
      <c r="H172" s="7"/>
      <c r="I172" s="7"/>
    </row>
    <row r="173" spans="1:44" ht="15" customHeight="1" x14ac:dyDescent="0.3">
      <c r="A173" s="61" t="s">
        <v>186</v>
      </c>
      <c r="B173" s="61"/>
      <c r="C173" s="61"/>
      <c r="D173" s="61"/>
      <c r="E173" s="61"/>
      <c r="F173" s="61"/>
      <c r="G173" s="61"/>
      <c r="H173" s="61"/>
      <c r="I173" s="61"/>
      <c r="J173" s="61"/>
    </row>
    <row r="174" spans="1:44" ht="15" customHeight="1" x14ac:dyDescent="0.3">
      <c r="A174" s="61"/>
      <c r="B174" s="61"/>
      <c r="C174" s="61"/>
      <c r="D174" s="61"/>
      <c r="E174" s="61"/>
      <c r="F174" s="61"/>
      <c r="G174" s="61"/>
      <c r="H174" s="61"/>
      <c r="I174" s="61"/>
      <c r="J174" s="61"/>
    </row>
    <row r="175" spans="1:44" ht="15" customHeight="1" x14ac:dyDescent="0.3">
      <c r="A175" s="61"/>
      <c r="B175" s="61"/>
      <c r="C175" s="61"/>
      <c r="D175" s="61"/>
      <c r="E175" s="61"/>
      <c r="F175" s="61"/>
      <c r="G175" s="61"/>
      <c r="H175" s="61"/>
      <c r="I175" s="61"/>
      <c r="J175" s="61"/>
    </row>
    <row r="176" spans="1:44" ht="15" customHeight="1" x14ac:dyDescent="0.3">
      <c r="A176" s="61"/>
      <c r="B176" s="61"/>
      <c r="C176" s="61"/>
      <c r="D176" s="61"/>
      <c r="E176" s="61"/>
      <c r="F176" s="61"/>
      <c r="G176" s="61"/>
      <c r="H176" s="61"/>
      <c r="I176" s="61"/>
      <c r="J176" s="61"/>
    </row>
    <row r="194" spans="1:44" x14ac:dyDescent="0.3">
      <c r="A194" s="3" t="s">
        <v>0</v>
      </c>
      <c r="B194" s="3">
        <v>2010</v>
      </c>
      <c r="C194" s="3">
        <f>B194+1</f>
        <v>2011</v>
      </c>
      <c r="D194" s="3">
        <f t="shared" ref="D194:J194" si="5">C194+1</f>
        <v>2012</v>
      </c>
      <c r="E194" s="3">
        <f t="shared" si="5"/>
        <v>2013</v>
      </c>
      <c r="F194" s="3">
        <f t="shared" si="5"/>
        <v>2014</v>
      </c>
      <c r="G194" s="3">
        <f t="shared" si="5"/>
        <v>2015</v>
      </c>
      <c r="H194" s="3">
        <f t="shared" si="5"/>
        <v>2016</v>
      </c>
      <c r="I194" s="3">
        <f t="shared" si="5"/>
        <v>2017</v>
      </c>
      <c r="J194" s="3">
        <f t="shared" si="5"/>
        <v>2018</v>
      </c>
      <c r="AH194" s="1"/>
      <c r="AI194" s="1"/>
      <c r="AQ194"/>
      <c r="AR194"/>
    </row>
    <row r="195" spans="1:44" s="4" customFormat="1" x14ac:dyDescent="0.3">
      <c r="A195" s="72" t="s">
        <v>6</v>
      </c>
      <c r="B195" s="67">
        <f>Calculate!C88</f>
        <v>0</v>
      </c>
      <c r="C195" s="67">
        <f>Calculate!D88</f>
        <v>0</v>
      </c>
      <c r="D195" s="67">
        <f>Calculate!E88</f>
        <v>1</v>
      </c>
      <c r="E195" s="67">
        <f>Calculate!F88</f>
        <v>0</v>
      </c>
      <c r="F195" s="67">
        <f>Calculate!G88</f>
        <v>0</v>
      </c>
      <c r="G195" s="67">
        <f>Calculate!H88</f>
        <v>0</v>
      </c>
      <c r="H195" s="67">
        <f>Calculate!I88</f>
        <v>0</v>
      </c>
      <c r="I195" s="67">
        <f>Calculate!J88</f>
        <v>0</v>
      </c>
      <c r="J195" s="67">
        <f>Calculate!K88</f>
        <v>0</v>
      </c>
      <c r="AQ195" s="5"/>
      <c r="AR195" s="5"/>
    </row>
    <row r="196" spans="1:44" x14ac:dyDescent="0.3">
      <c r="A196" s="72"/>
      <c r="B196" s="67"/>
      <c r="C196" s="67"/>
      <c r="D196" s="67"/>
      <c r="E196" s="67"/>
      <c r="F196" s="67"/>
      <c r="G196" s="67"/>
      <c r="H196" s="67"/>
      <c r="I196" s="67"/>
      <c r="J196" s="67"/>
      <c r="AH196" s="1"/>
      <c r="AI196" s="1"/>
      <c r="AQ196"/>
      <c r="AR196"/>
    </row>
    <row r="197" spans="1:44" x14ac:dyDescent="0.3">
      <c r="A197" s="1" t="s">
        <v>7</v>
      </c>
      <c r="AH197" s="1"/>
      <c r="AI197" s="1"/>
      <c r="AQ197"/>
      <c r="AR197"/>
    </row>
    <row r="198" spans="1:44" ht="15.75" customHeight="1" x14ac:dyDescent="0.3">
      <c r="A198" s="64" t="s">
        <v>135</v>
      </c>
      <c r="B198" s="64"/>
      <c r="C198" s="64"/>
      <c r="D198" s="64"/>
      <c r="E198" s="64"/>
      <c r="F198" s="64"/>
      <c r="G198" s="64"/>
      <c r="H198" s="64"/>
      <c r="I198" s="64"/>
      <c r="J198" s="64"/>
    </row>
    <row r="200" spans="1:44" ht="15.75" customHeight="1" x14ac:dyDescent="0.3">
      <c r="A200" s="85" t="s">
        <v>112</v>
      </c>
      <c r="B200" s="85"/>
      <c r="C200" s="85"/>
      <c r="D200" s="85"/>
      <c r="E200" s="85"/>
      <c r="F200" s="85"/>
      <c r="G200" s="85"/>
      <c r="H200" s="85"/>
      <c r="I200" s="85"/>
      <c r="J200" s="85"/>
      <c r="P200"/>
      <c r="Q200"/>
      <c r="AH200" s="1"/>
      <c r="AI200" s="1"/>
    </row>
    <row r="201" spans="1:44" ht="15" customHeight="1" x14ac:dyDescent="0.3">
      <c r="A201" s="85"/>
      <c r="B201" s="85"/>
      <c r="C201" s="85"/>
      <c r="D201" s="85"/>
      <c r="E201" s="85"/>
      <c r="F201" s="85"/>
      <c r="G201" s="85"/>
      <c r="H201" s="85"/>
      <c r="I201" s="85"/>
      <c r="J201" s="85"/>
      <c r="R201"/>
      <c r="S201"/>
      <c r="AH201" s="1"/>
      <c r="AI201" s="1"/>
    </row>
    <row r="202" spans="1:44" x14ac:dyDescent="0.3">
      <c r="R202"/>
      <c r="S202"/>
      <c r="AH202" s="1"/>
      <c r="AI202" s="1"/>
    </row>
    <row r="203" spans="1:44" x14ac:dyDescent="0.3">
      <c r="R203"/>
      <c r="S203"/>
      <c r="AH203" s="1"/>
      <c r="AI203" s="1"/>
    </row>
    <row r="204" spans="1:44" x14ac:dyDescent="0.3">
      <c r="R204"/>
      <c r="S204"/>
      <c r="AH204" s="1"/>
      <c r="AI204" s="1"/>
    </row>
    <row r="205" spans="1:44" x14ac:dyDescent="0.3">
      <c r="R205"/>
      <c r="S205"/>
      <c r="AH205" s="1"/>
      <c r="AI205" s="1"/>
    </row>
    <row r="206" spans="1:44" x14ac:dyDescent="0.3">
      <c r="R206"/>
      <c r="S206"/>
      <c r="AH206" s="1"/>
      <c r="AI206" s="1"/>
    </row>
    <row r="207" spans="1:44" x14ac:dyDescent="0.3">
      <c r="R207"/>
      <c r="S207"/>
      <c r="AH207" s="1"/>
      <c r="AI207" s="1"/>
    </row>
    <row r="208" spans="1:44" x14ac:dyDescent="0.3">
      <c r="R208"/>
      <c r="S208"/>
      <c r="AH208" s="1"/>
      <c r="AI208" s="1"/>
    </row>
    <row r="209" spans="1:35" x14ac:dyDescent="0.3">
      <c r="R209"/>
      <c r="S209"/>
      <c r="AH209" s="1"/>
      <c r="AI209" s="1"/>
    </row>
    <row r="210" spans="1:35" x14ac:dyDescent="0.3">
      <c r="R210"/>
      <c r="S210"/>
      <c r="AH210" s="1"/>
      <c r="AI210" s="1"/>
    </row>
    <row r="211" spans="1:35" x14ac:dyDescent="0.3">
      <c r="R211"/>
      <c r="S211"/>
      <c r="AH211" s="1"/>
      <c r="AI211" s="1"/>
    </row>
    <row r="212" spans="1:35" x14ac:dyDescent="0.3">
      <c r="R212"/>
      <c r="S212"/>
      <c r="AH212" s="1"/>
      <c r="AI212" s="1"/>
    </row>
    <row r="213" spans="1:35" x14ac:dyDescent="0.3">
      <c r="R213"/>
      <c r="S213"/>
      <c r="AH213" s="1"/>
      <c r="AI213" s="1"/>
    </row>
    <row r="214" spans="1:35" x14ac:dyDescent="0.3">
      <c r="R214"/>
      <c r="S214"/>
      <c r="AH214" s="1"/>
      <c r="AI214" s="1"/>
    </row>
    <row r="215" spans="1:35" x14ac:dyDescent="0.3">
      <c r="R215"/>
      <c r="S215"/>
      <c r="AH215" s="1"/>
      <c r="AI215" s="1"/>
    </row>
    <row r="216" spans="1:35" x14ac:dyDescent="0.3">
      <c r="R216"/>
      <c r="S216"/>
      <c r="AH216" s="1"/>
      <c r="AI216" s="1"/>
    </row>
    <row r="217" spans="1:35" x14ac:dyDescent="0.3">
      <c r="R217"/>
      <c r="S217"/>
      <c r="AH217" s="1"/>
      <c r="AI217" s="1"/>
    </row>
    <row r="218" spans="1:35" ht="15.75" customHeight="1" x14ac:dyDescent="0.3">
      <c r="A218" s="64" t="s">
        <v>136</v>
      </c>
      <c r="B218" s="64"/>
      <c r="C218" s="64"/>
      <c r="D218" s="64"/>
      <c r="E218" s="64"/>
      <c r="F218" s="64"/>
      <c r="G218" s="64"/>
      <c r="H218" s="64"/>
      <c r="I218" s="64"/>
      <c r="J218" s="64"/>
      <c r="R218"/>
      <c r="S218"/>
      <c r="AH218" s="1"/>
      <c r="AI218" s="1"/>
    </row>
    <row r="219" spans="1:35" ht="15" customHeight="1" x14ac:dyDescent="0.3">
      <c r="A219" s="64"/>
      <c r="B219" s="64"/>
      <c r="C219" s="64"/>
      <c r="D219" s="64"/>
      <c r="E219" s="64"/>
      <c r="F219" s="64"/>
      <c r="G219" s="64"/>
      <c r="H219" s="64"/>
      <c r="I219" s="64"/>
      <c r="J219" s="64"/>
      <c r="R219"/>
      <c r="S219"/>
      <c r="AH219" s="1"/>
      <c r="AI219" s="1"/>
    </row>
    <row r="220" spans="1:35" x14ac:dyDescent="0.3">
      <c r="R220"/>
      <c r="S220"/>
      <c r="AH220" s="1"/>
      <c r="AI220" s="1"/>
    </row>
    <row r="221" spans="1:35" x14ac:dyDescent="0.3">
      <c r="R221"/>
      <c r="S221"/>
      <c r="AH221" s="1"/>
      <c r="AI221" s="1"/>
    </row>
    <row r="222" spans="1:35" x14ac:dyDescent="0.3">
      <c r="R222"/>
      <c r="S222"/>
      <c r="AH222" s="1"/>
      <c r="AI222" s="1"/>
    </row>
    <row r="223" spans="1:35" x14ac:dyDescent="0.3">
      <c r="R223"/>
      <c r="S223"/>
      <c r="AH223" s="1"/>
      <c r="AI223" s="1"/>
    </row>
    <row r="224" spans="1:35" x14ac:dyDescent="0.3">
      <c r="R224"/>
      <c r="S224"/>
      <c r="AH224" s="1"/>
      <c r="AI224" s="1"/>
    </row>
    <row r="225" spans="18:35" x14ac:dyDescent="0.3">
      <c r="R225"/>
      <c r="S225"/>
      <c r="AH225" s="1"/>
      <c r="AI225" s="1"/>
    </row>
    <row r="226" spans="18:35" x14ac:dyDescent="0.3">
      <c r="R226"/>
      <c r="S226"/>
      <c r="AH226" s="1"/>
      <c r="AI226" s="1"/>
    </row>
    <row r="227" spans="18:35" x14ac:dyDescent="0.3">
      <c r="R227"/>
      <c r="S227"/>
      <c r="AH227" s="1"/>
      <c r="AI227" s="1"/>
    </row>
    <row r="228" spans="18:35" x14ac:dyDescent="0.3">
      <c r="R228"/>
      <c r="S228"/>
      <c r="AH228" s="1"/>
      <c r="AI228" s="1"/>
    </row>
    <row r="229" spans="18:35" x14ac:dyDescent="0.3">
      <c r="R229"/>
      <c r="S229"/>
      <c r="AH229" s="1"/>
      <c r="AI229" s="1"/>
    </row>
    <row r="230" spans="18:35" x14ac:dyDescent="0.3">
      <c r="R230"/>
      <c r="S230"/>
      <c r="AH230" s="1"/>
      <c r="AI230" s="1"/>
    </row>
    <row r="231" spans="18:35" x14ac:dyDescent="0.3">
      <c r="R231"/>
      <c r="S231"/>
      <c r="AH231" s="1"/>
      <c r="AI231" s="1"/>
    </row>
    <row r="232" spans="18:35" x14ac:dyDescent="0.3">
      <c r="R232"/>
      <c r="S232"/>
      <c r="AH232" s="1"/>
      <c r="AI232" s="1"/>
    </row>
    <row r="233" spans="18:35" x14ac:dyDescent="0.3">
      <c r="R233"/>
      <c r="S233"/>
      <c r="AH233" s="1"/>
      <c r="AI233" s="1"/>
    </row>
    <row r="234" spans="18:35" x14ac:dyDescent="0.3">
      <c r="R234"/>
      <c r="S234"/>
      <c r="AH234" s="1"/>
      <c r="AI234" s="1"/>
    </row>
    <row r="235" spans="18:35" x14ac:dyDescent="0.3">
      <c r="R235"/>
      <c r="S235"/>
      <c r="AH235" s="1"/>
      <c r="AI235" s="1"/>
    </row>
    <row r="236" spans="18:35" x14ac:dyDescent="0.3">
      <c r="R236"/>
      <c r="S236"/>
      <c r="AH236" s="1"/>
      <c r="AI236" s="1"/>
    </row>
    <row r="237" spans="18:35" x14ac:dyDescent="0.3">
      <c r="Y237"/>
      <c r="Z237"/>
      <c r="AH237" s="1"/>
      <c r="AI237" s="1"/>
    </row>
  </sheetData>
  <mergeCells count="31">
    <mergeCell ref="A200:J201"/>
    <mergeCell ref="A218:J219"/>
    <mergeCell ref="A125:J128"/>
    <mergeCell ref="A146:J147"/>
    <mergeCell ref="A151:J152"/>
    <mergeCell ref="A171:J171"/>
    <mergeCell ref="A173:J176"/>
    <mergeCell ref="A195:A196"/>
    <mergeCell ref="B195:B196"/>
    <mergeCell ref="C195:C196"/>
    <mergeCell ref="D195:D196"/>
    <mergeCell ref="E195:E196"/>
    <mergeCell ref="F195:F196"/>
    <mergeCell ref="G195:G196"/>
    <mergeCell ref="H195:H196"/>
    <mergeCell ref="I195:I196"/>
    <mergeCell ref="A1:J48"/>
    <mergeCell ref="A51:J52"/>
    <mergeCell ref="A73:J73"/>
    <mergeCell ref="A75:J76"/>
    <mergeCell ref="A99:J99"/>
    <mergeCell ref="A198:J198"/>
    <mergeCell ref="J195:J196"/>
    <mergeCell ref="B170:C170"/>
    <mergeCell ref="A122:I123"/>
    <mergeCell ref="B71:C71"/>
    <mergeCell ref="F71:G71"/>
    <mergeCell ref="A94:A95"/>
    <mergeCell ref="A96:A97"/>
    <mergeCell ref="A102:J104"/>
    <mergeCell ref="A100:J101"/>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O6"/>
  <sheetViews>
    <sheetView view="pageLayout" zoomScaleNormal="100" workbookViewId="0">
      <selection activeCell="D8" sqref="D8"/>
    </sheetView>
  </sheetViews>
  <sheetFormatPr defaultRowHeight="15.6" x14ac:dyDescent="0.3"/>
  <cols>
    <col min="1" max="1" width="3.88671875" style="32" customWidth="1"/>
    <col min="2" max="2" width="9.5546875" customWidth="1"/>
    <col min="3" max="3" width="13.33203125" customWidth="1"/>
    <col min="4" max="4" width="20.44140625" customWidth="1"/>
    <col min="5" max="5" width="9" customWidth="1"/>
    <col min="6" max="6" width="14.33203125" customWidth="1"/>
    <col min="7" max="7" width="16.6640625" customWidth="1"/>
  </cols>
  <sheetData>
    <row r="1" spans="1:41" s="1" customFormat="1" ht="15" customHeight="1" x14ac:dyDescent="0.3">
      <c r="A1" s="61" t="s">
        <v>150</v>
      </c>
      <c r="B1" s="61"/>
      <c r="C1" s="61"/>
      <c r="D1" s="61"/>
      <c r="E1" s="61"/>
      <c r="F1" s="61"/>
      <c r="G1" s="61"/>
      <c r="AN1"/>
      <c r="AO1"/>
    </row>
    <row r="2" spans="1:41" s="1" customFormat="1" ht="15" customHeight="1" x14ac:dyDescent="0.3">
      <c r="A2" s="61"/>
      <c r="B2" s="61"/>
      <c r="C2" s="61"/>
      <c r="D2" s="61"/>
      <c r="E2" s="61"/>
      <c r="F2" s="61"/>
      <c r="G2" s="61"/>
      <c r="AN2"/>
      <c r="AO2"/>
    </row>
    <row r="3" spans="1:41" s="1" customFormat="1" x14ac:dyDescent="0.3">
      <c r="A3" s="62" t="s">
        <v>151</v>
      </c>
      <c r="B3" s="62"/>
      <c r="C3" s="62"/>
      <c r="D3" s="62"/>
      <c r="E3" s="62"/>
      <c r="F3" s="62"/>
      <c r="G3" s="62"/>
      <c r="AN3"/>
      <c r="AO3"/>
    </row>
    <row r="4" spans="1:41" s="1" customFormat="1" ht="36.75" customHeight="1" x14ac:dyDescent="0.3">
      <c r="A4" s="36" t="s">
        <v>84</v>
      </c>
      <c r="B4" s="34" t="s">
        <v>8</v>
      </c>
      <c r="C4" s="34" t="s">
        <v>11</v>
      </c>
      <c r="D4" s="34" t="s">
        <v>9</v>
      </c>
      <c r="E4" s="34" t="s">
        <v>85</v>
      </c>
      <c r="F4" s="34" t="s">
        <v>86</v>
      </c>
      <c r="G4" s="34" t="s">
        <v>10</v>
      </c>
      <c r="AN4"/>
      <c r="AO4"/>
    </row>
    <row r="5" spans="1:41" s="1" customFormat="1" ht="109.2" x14ac:dyDescent="0.3">
      <c r="A5" s="37">
        <v>1</v>
      </c>
      <c r="B5" s="35" t="s">
        <v>57</v>
      </c>
      <c r="C5" s="35" t="s">
        <v>20</v>
      </c>
      <c r="D5" s="35" t="s">
        <v>21</v>
      </c>
      <c r="E5" s="42" t="s">
        <v>161</v>
      </c>
      <c r="F5" s="33" t="s">
        <v>153</v>
      </c>
      <c r="G5" s="33"/>
      <c r="AN5"/>
      <c r="AO5"/>
    </row>
    <row r="6" spans="1:41" s="1" customFormat="1" x14ac:dyDescent="0.3">
      <c r="A6" s="31"/>
      <c r="AN6"/>
      <c r="AO6"/>
    </row>
  </sheetData>
  <mergeCells count="2">
    <mergeCell ref="A1:G2"/>
    <mergeCell ref="A3:G3"/>
  </mergeCells>
  <pageMargins left="0.7" right="0.63541666666666663"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R219"/>
  <sheetViews>
    <sheetView showGridLines="0" showWhiteSpace="0" view="pageLayout" zoomScale="93" zoomScaleNormal="100" zoomScaleSheetLayoutView="100" zoomScalePageLayoutView="93" workbookViewId="0">
      <selection activeCell="A125" sqref="A125:J128"/>
    </sheetView>
  </sheetViews>
  <sheetFormatPr defaultColWidth="9.109375" defaultRowHeight="14.4" x14ac:dyDescent="0.3"/>
  <cols>
    <col min="1" max="1" width="13.109375" style="1" customWidth="1"/>
    <col min="2" max="10" width="7.6640625" style="1" customWidth="1"/>
    <col min="11" max="20" width="9.109375" style="1"/>
    <col min="21" max="21" width="11" style="1" customWidth="1"/>
    <col min="22" max="41" width="9.109375" style="1"/>
    <col min="44" max="260" width="9.109375" style="1"/>
    <col min="261" max="261" width="14.5546875" style="1" customWidth="1"/>
    <col min="262" max="262" width="15.5546875" style="1" customWidth="1"/>
    <col min="263" max="263" width="16.5546875" style="1" customWidth="1"/>
    <col min="264" max="264" width="11.33203125" style="1" customWidth="1"/>
    <col min="265" max="276" width="9.109375" style="1"/>
    <col min="277" max="277" width="11" style="1" customWidth="1"/>
    <col min="278" max="516" width="9.109375" style="1"/>
    <col min="517" max="517" width="14.5546875" style="1" customWidth="1"/>
    <col min="518" max="518" width="15.5546875" style="1" customWidth="1"/>
    <col min="519" max="519" width="16.5546875" style="1" customWidth="1"/>
    <col min="520" max="520" width="11.33203125" style="1" customWidth="1"/>
    <col min="521" max="532" width="9.109375" style="1"/>
    <col min="533" max="533" width="11" style="1" customWidth="1"/>
    <col min="534" max="772" width="9.109375" style="1"/>
    <col min="773" max="773" width="14.5546875" style="1" customWidth="1"/>
    <col min="774" max="774" width="15.5546875" style="1" customWidth="1"/>
    <col min="775" max="775" width="16.5546875" style="1" customWidth="1"/>
    <col min="776" max="776" width="11.33203125" style="1" customWidth="1"/>
    <col min="777" max="788" width="9.109375" style="1"/>
    <col min="789" max="789" width="11" style="1" customWidth="1"/>
    <col min="790" max="1028" width="9.109375" style="1"/>
    <col min="1029" max="1029" width="14.5546875" style="1" customWidth="1"/>
    <col min="1030" max="1030" width="15.5546875" style="1" customWidth="1"/>
    <col min="1031" max="1031" width="16.5546875" style="1" customWidth="1"/>
    <col min="1032" max="1032" width="11.33203125" style="1" customWidth="1"/>
    <col min="1033" max="1044" width="9.109375" style="1"/>
    <col min="1045" max="1045" width="11" style="1" customWidth="1"/>
    <col min="1046" max="1284" width="9.109375" style="1"/>
    <col min="1285" max="1285" width="14.5546875" style="1" customWidth="1"/>
    <col min="1286" max="1286" width="15.5546875" style="1" customWidth="1"/>
    <col min="1287" max="1287" width="16.5546875" style="1" customWidth="1"/>
    <col min="1288" max="1288" width="11.33203125" style="1" customWidth="1"/>
    <col min="1289" max="1300" width="9.109375" style="1"/>
    <col min="1301" max="1301" width="11" style="1" customWidth="1"/>
    <col min="1302" max="1540" width="9.109375" style="1"/>
    <col min="1541" max="1541" width="14.5546875" style="1" customWidth="1"/>
    <col min="1542" max="1542" width="15.5546875" style="1" customWidth="1"/>
    <col min="1543" max="1543" width="16.5546875" style="1" customWidth="1"/>
    <col min="1544" max="1544" width="11.33203125" style="1" customWidth="1"/>
    <col min="1545" max="1556" width="9.109375" style="1"/>
    <col min="1557" max="1557" width="11" style="1" customWidth="1"/>
    <col min="1558" max="1796" width="9.109375" style="1"/>
    <col min="1797" max="1797" width="14.5546875" style="1" customWidth="1"/>
    <col min="1798" max="1798" width="15.5546875" style="1" customWidth="1"/>
    <col min="1799" max="1799" width="16.5546875" style="1" customWidth="1"/>
    <col min="1800" max="1800" width="11.33203125" style="1" customWidth="1"/>
    <col min="1801" max="1812" width="9.109375" style="1"/>
    <col min="1813" max="1813" width="11" style="1" customWidth="1"/>
    <col min="1814" max="2052" width="9.109375" style="1"/>
    <col min="2053" max="2053" width="14.5546875" style="1" customWidth="1"/>
    <col min="2054" max="2054" width="15.5546875" style="1" customWidth="1"/>
    <col min="2055" max="2055" width="16.5546875" style="1" customWidth="1"/>
    <col min="2056" max="2056" width="11.33203125" style="1" customWidth="1"/>
    <col min="2057" max="2068" width="9.109375" style="1"/>
    <col min="2069" max="2069" width="11" style="1" customWidth="1"/>
    <col min="2070" max="2308" width="9.109375" style="1"/>
    <col min="2309" max="2309" width="14.5546875" style="1" customWidth="1"/>
    <col min="2310" max="2310" width="15.5546875" style="1" customWidth="1"/>
    <col min="2311" max="2311" width="16.5546875" style="1" customWidth="1"/>
    <col min="2312" max="2312" width="11.33203125" style="1" customWidth="1"/>
    <col min="2313" max="2324" width="9.109375" style="1"/>
    <col min="2325" max="2325" width="11" style="1" customWidth="1"/>
    <col min="2326" max="2564" width="9.109375" style="1"/>
    <col min="2565" max="2565" width="14.5546875" style="1" customWidth="1"/>
    <col min="2566" max="2566" width="15.5546875" style="1" customWidth="1"/>
    <col min="2567" max="2567" width="16.5546875" style="1" customWidth="1"/>
    <col min="2568" max="2568" width="11.33203125" style="1" customWidth="1"/>
    <col min="2569" max="2580" width="9.109375" style="1"/>
    <col min="2581" max="2581" width="11" style="1" customWidth="1"/>
    <col min="2582" max="2820" width="9.109375" style="1"/>
    <col min="2821" max="2821" width="14.5546875" style="1" customWidth="1"/>
    <col min="2822" max="2822" width="15.5546875" style="1" customWidth="1"/>
    <col min="2823" max="2823" width="16.5546875" style="1" customWidth="1"/>
    <col min="2824" max="2824" width="11.33203125" style="1" customWidth="1"/>
    <col min="2825" max="2836" width="9.109375" style="1"/>
    <col min="2837" max="2837" width="11" style="1" customWidth="1"/>
    <col min="2838" max="3076" width="9.109375" style="1"/>
    <col min="3077" max="3077" width="14.5546875" style="1" customWidth="1"/>
    <col min="3078" max="3078" width="15.5546875" style="1" customWidth="1"/>
    <col min="3079" max="3079" width="16.5546875" style="1" customWidth="1"/>
    <col min="3080" max="3080" width="11.33203125" style="1" customWidth="1"/>
    <col min="3081" max="3092" width="9.109375" style="1"/>
    <col min="3093" max="3093" width="11" style="1" customWidth="1"/>
    <col min="3094" max="3332" width="9.109375" style="1"/>
    <col min="3333" max="3333" width="14.5546875" style="1" customWidth="1"/>
    <col min="3334" max="3334" width="15.5546875" style="1" customWidth="1"/>
    <col min="3335" max="3335" width="16.5546875" style="1" customWidth="1"/>
    <col min="3336" max="3336" width="11.33203125" style="1" customWidth="1"/>
    <col min="3337" max="3348" width="9.109375" style="1"/>
    <col min="3349" max="3349" width="11" style="1" customWidth="1"/>
    <col min="3350" max="3588" width="9.109375" style="1"/>
    <col min="3589" max="3589" width="14.5546875" style="1" customWidth="1"/>
    <col min="3590" max="3590" width="15.5546875" style="1" customWidth="1"/>
    <col min="3591" max="3591" width="16.5546875" style="1" customWidth="1"/>
    <col min="3592" max="3592" width="11.33203125" style="1" customWidth="1"/>
    <col min="3593" max="3604" width="9.109375" style="1"/>
    <col min="3605" max="3605" width="11" style="1" customWidth="1"/>
    <col min="3606" max="3844" width="9.109375" style="1"/>
    <col min="3845" max="3845" width="14.5546875" style="1" customWidth="1"/>
    <col min="3846" max="3846" width="15.5546875" style="1" customWidth="1"/>
    <col min="3847" max="3847" width="16.5546875" style="1" customWidth="1"/>
    <col min="3848" max="3848" width="11.33203125" style="1" customWidth="1"/>
    <col min="3849" max="3860" width="9.109375" style="1"/>
    <col min="3861" max="3861" width="11" style="1" customWidth="1"/>
    <col min="3862" max="4100" width="9.109375" style="1"/>
    <col min="4101" max="4101" width="14.5546875" style="1" customWidth="1"/>
    <col min="4102" max="4102" width="15.5546875" style="1" customWidth="1"/>
    <col min="4103" max="4103" width="16.5546875" style="1" customWidth="1"/>
    <col min="4104" max="4104" width="11.33203125" style="1" customWidth="1"/>
    <col min="4105" max="4116" width="9.109375" style="1"/>
    <col min="4117" max="4117" width="11" style="1" customWidth="1"/>
    <col min="4118" max="4356" width="9.109375" style="1"/>
    <col min="4357" max="4357" width="14.5546875" style="1" customWidth="1"/>
    <col min="4358" max="4358" width="15.5546875" style="1" customWidth="1"/>
    <col min="4359" max="4359" width="16.5546875" style="1" customWidth="1"/>
    <col min="4360" max="4360" width="11.33203125" style="1" customWidth="1"/>
    <col min="4361" max="4372" width="9.109375" style="1"/>
    <col min="4373" max="4373" width="11" style="1" customWidth="1"/>
    <col min="4374" max="4612" width="9.109375" style="1"/>
    <col min="4613" max="4613" width="14.5546875" style="1" customWidth="1"/>
    <col min="4614" max="4614" width="15.5546875" style="1" customWidth="1"/>
    <col min="4615" max="4615" width="16.5546875" style="1" customWidth="1"/>
    <col min="4616" max="4616" width="11.33203125" style="1" customWidth="1"/>
    <col min="4617" max="4628" width="9.109375" style="1"/>
    <col min="4629" max="4629" width="11" style="1" customWidth="1"/>
    <col min="4630" max="4868" width="9.109375" style="1"/>
    <col min="4869" max="4869" width="14.5546875" style="1" customWidth="1"/>
    <col min="4870" max="4870" width="15.5546875" style="1" customWidth="1"/>
    <col min="4871" max="4871" width="16.5546875" style="1" customWidth="1"/>
    <col min="4872" max="4872" width="11.33203125" style="1" customWidth="1"/>
    <col min="4873" max="4884" width="9.109375" style="1"/>
    <col min="4885" max="4885" width="11" style="1" customWidth="1"/>
    <col min="4886" max="5124" width="9.109375" style="1"/>
    <col min="5125" max="5125" width="14.5546875" style="1" customWidth="1"/>
    <col min="5126" max="5126" width="15.5546875" style="1" customWidth="1"/>
    <col min="5127" max="5127" width="16.5546875" style="1" customWidth="1"/>
    <col min="5128" max="5128" width="11.33203125" style="1" customWidth="1"/>
    <col min="5129" max="5140" width="9.109375" style="1"/>
    <col min="5141" max="5141" width="11" style="1" customWidth="1"/>
    <col min="5142" max="5380" width="9.109375" style="1"/>
    <col min="5381" max="5381" width="14.5546875" style="1" customWidth="1"/>
    <col min="5382" max="5382" width="15.5546875" style="1" customWidth="1"/>
    <col min="5383" max="5383" width="16.5546875" style="1" customWidth="1"/>
    <col min="5384" max="5384" width="11.33203125" style="1" customWidth="1"/>
    <col min="5385" max="5396" width="9.109375" style="1"/>
    <col min="5397" max="5397" width="11" style="1" customWidth="1"/>
    <col min="5398" max="5636" width="9.109375" style="1"/>
    <col min="5637" max="5637" width="14.5546875" style="1" customWidth="1"/>
    <col min="5638" max="5638" width="15.5546875" style="1" customWidth="1"/>
    <col min="5639" max="5639" width="16.5546875" style="1" customWidth="1"/>
    <col min="5640" max="5640" width="11.33203125" style="1" customWidth="1"/>
    <col min="5641" max="5652" width="9.109375" style="1"/>
    <col min="5653" max="5653" width="11" style="1" customWidth="1"/>
    <col min="5654" max="5892" width="9.109375" style="1"/>
    <col min="5893" max="5893" width="14.5546875" style="1" customWidth="1"/>
    <col min="5894" max="5894" width="15.5546875" style="1" customWidth="1"/>
    <col min="5895" max="5895" width="16.5546875" style="1" customWidth="1"/>
    <col min="5896" max="5896" width="11.33203125" style="1" customWidth="1"/>
    <col min="5897" max="5908" width="9.109375" style="1"/>
    <col min="5909" max="5909" width="11" style="1" customWidth="1"/>
    <col min="5910" max="6148" width="9.109375" style="1"/>
    <col min="6149" max="6149" width="14.5546875" style="1" customWidth="1"/>
    <col min="6150" max="6150" width="15.5546875" style="1" customWidth="1"/>
    <col min="6151" max="6151" width="16.5546875" style="1" customWidth="1"/>
    <col min="6152" max="6152" width="11.33203125" style="1" customWidth="1"/>
    <col min="6153" max="6164" width="9.109375" style="1"/>
    <col min="6165" max="6165" width="11" style="1" customWidth="1"/>
    <col min="6166" max="6404" width="9.109375" style="1"/>
    <col min="6405" max="6405" width="14.5546875" style="1" customWidth="1"/>
    <col min="6406" max="6406" width="15.5546875" style="1" customWidth="1"/>
    <col min="6407" max="6407" width="16.5546875" style="1" customWidth="1"/>
    <col min="6408" max="6408" width="11.33203125" style="1" customWidth="1"/>
    <col min="6409" max="6420" width="9.109375" style="1"/>
    <col min="6421" max="6421" width="11" style="1" customWidth="1"/>
    <col min="6422" max="6660" width="9.109375" style="1"/>
    <col min="6661" max="6661" width="14.5546875" style="1" customWidth="1"/>
    <col min="6662" max="6662" width="15.5546875" style="1" customWidth="1"/>
    <col min="6663" max="6663" width="16.5546875" style="1" customWidth="1"/>
    <col min="6664" max="6664" width="11.33203125" style="1" customWidth="1"/>
    <col min="6665" max="6676" width="9.109375" style="1"/>
    <col min="6677" max="6677" width="11" style="1" customWidth="1"/>
    <col min="6678" max="6916" width="9.109375" style="1"/>
    <col min="6917" max="6917" width="14.5546875" style="1" customWidth="1"/>
    <col min="6918" max="6918" width="15.5546875" style="1" customWidth="1"/>
    <col min="6919" max="6919" width="16.5546875" style="1" customWidth="1"/>
    <col min="6920" max="6920" width="11.33203125" style="1" customWidth="1"/>
    <col min="6921" max="6932" width="9.109375" style="1"/>
    <col min="6933" max="6933" width="11" style="1" customWidth="1"/>
    <col min="6934" max="7172" width="9.109375" style="1"/>
    <col min="7173" max="7173" width="14.5546875" style="1" customWidth="1"/>
    <col min="7174" max="7174" width="15.5546875" style="1" customWidth="1"/>
    <col min="7175" max="7175" width="16.5546875" style="1" customWidth="1"/>
    <col min="7176" max="7176" width="11.33203125" style="1" customWidth="1"/>
    <col min="7177" max="7188" width="9.109375" style="1"/>
    <col min="7189" max="7189" width="11" style="1" customWidth="1"/>
    <col min="7190" max="7428" width="9.109375" style="1"/>
    <col min="7429" max="7429" width="14.5546875" style="1" customWidth="1"/>
    <col min="7430" max="7430" width="15.5546875" style="1" customWidth="1"/>
    <col min="7431" max="7431" width="16.5546875" style="1" customWidth="1"/>
    <col min="7432" max="7432" width="11.33203125" style="1" customWidth="1"/>
    <col min="7433" max="7444" width="9.109375" style="1"/>
    <col min="7445" max="7445" width="11" style="1" customWidth="1"/>
    <col min="7446" max="7684" width="9.109375" style="1"/>
    <col min="7685" max="7685" width="14.5546875" style="1" customWidth="1"/>
    <col min="7686" max="7686" width="15.5546875" style="1" customWidth="1"/>
    <col min="7687" max="7687" width="16.5546875" style="1" customWidth="1"/>
    <col min="7688" max="7688" width="11.33203125" style="1" customWidth="1"/>
    <col min="7689" max="7700" width="9.109375" style="1"/>
    <col min="7701" max="7701" width="11" style="1" customWidth="1"/>
    <col min="7702" max="7940" width="9.109375" style="1"/>
    <col min="7941" max="7941" width="14.5546875" style="1" customWidth="1"/>
    <col min="7942" max="7942" width="15.5546875" style="1" customWidth="1"/>
    <col min="7943" max="7943" width="16.5546875" style="1" customWidth="1"/>
    <col min="7944" max="7944" width="11.33203125" style="1" customWidth="1"/>
    <col min="7945" max="7956" width="9.109375" style="1"/>
    <col min="7957" max="7957" width="11" style="1" customWidth="1"/>
    <col min="7958" max="8196" width="9.109375" style="1"/>
    <col min="8197" max="8197" width="14.5546875" style="1" customWidth="1"/>
    <col min="8198" max="8198" width="15.5546875" style="1" customWidth="1"/>
    <col min="8199" max="8199" width="16.5546875" style="1" customWidth="1"/>
    <col min="8200" max="8200" width="11.33203125" style="1" customWidth="1"/>
    <col min="8201" max="8212" width="9.109375" style="1"/>
    <col min="8213" max="8213" width="11" style="1" customWidth="1"/>
    <col min="8214" max="8452" width="9.109375" style="1"/>
    <col min="8453" max="8453" width="14.5546875" style="1" customWidth="1"/>
    <col min="8454" max="8454" width="15.5546875" style="1" customWidth="1"/>
    <col min="8455" max="8455" width="16.5546875" style="1" customWidth="1"/>
    <col min="8456" max="8456" width="11.33203125" style="1" customWidth="1"/>
    <col min="8457" max="8468" width="9.109375" style="1"/>
    <col min="8469" max="8469" width="11" style="1" customWidth="1"/>
    <col min="8470" max="8708" width="9.109375" style="1"/>
    <col min="8709" max="8709" width="14.5546875" style="1" customWidth="1"/>
    <col min="8710" max="8710" width="15.5546875" style="1" customWidth="1"/>
    <col min="8711" max="8711" width="16.5546875" style="1" customWidth="1"/>
    <col min="8712" max="8712" width="11.33203125" style="1" customWidth="1"/>
    <col min="8713" max="8724" width="9.109375" style="1"/>
    <col min="8725" max="8725" width="11" style="1" customWidth="1"/>
    <col min="8726" max="8964" width="9.109375" style="1"/>
    <col min="8965" max="8965" width="14.5546875" style="1" customWidth="1"/>
    <col min="8966" max="8966" width="15.5546875" style="1" customWidth="1"/>
    <col min="8967" max="8967" width="16.5546875" style="1" customWidth="1"/>
    <col min="8968" max="8968" width="11.33203125" style="1" customWidth="1"/>
    <col min="8969" max="8980" width="9.109375" style="1"/>
    <col min="8981" max="8981" width="11" style="1" customWidth="1"/>
    <col min="8982" max="9220" width="9.109375" style="1"/>
    <col min="9221" max="9221" width="14.5546875" style="1" customWidth="1"/>
    <col min="9222" max="9222" width="15.5546875" style="1" customWidth="1"/>
    <col min="9223" max="9223" width="16.5546875" style="1" customWidth="1"/>
    <col min="9224" max="9224" width="11.33203125" style="1" customWidth="1"/>
    <col min="9225" max="9236" width="9.109375" style="1"/>
    <col min="9237" max="9237" width="11" style="1" customWidth="1"/>
    <col min="9238" max="9476" width="9.109375" style="1"/>
    <col min="9477" max="9477" width="14.5546875" style="1" customWidth="1"/>
    <col min="9478" max="9478" width="15.5546875" style="1" customWidth="1"/>
    <col min="9479" max="9479" width="16.5546875" style="1" customWidth="1"/>
    <col min="9480" max="9480" width="11.33203125" style="1" customWidth="1"/>
    <col min="9481" max="9492" width="9.109375" style="1"/>
    <col min="9493" max="9493" width="11" style="1" customWidth="1"/>
    <col min="9494" max="9732" width="9.109375" style="1"/>
    <col min="9733" max="9733" width="14.5546875" style="1" customWidth="1"/>
    <col min="9734" max="9734" width="15.5546875" style="1" customWidth="1"/>
    <col min="9735" max="9735" width="16.5546875" style="1" customWidth="1"/>
    <col min="9736" max="9736" width="11.33203125" style="1" customWidth="1"/>
    <col min="9737" max="9748" width="9.109375" style="1"/>
    <col min="9749" max="9749" width="11" style="1" customWidth="1"/>
    <col min="9750" max="9988" width="9.109375" style="1"/>
    <col min="9989" max="9989" width="14.5546875" style="1" customWidth="1"/>
    <col min="9990" max="9990" width="15.5546875" style="1" customWidth="1"/>
    <col min="9991" max="9991" width="16.5546875" style="1" customWidth="1"/>
    <col min="9992" max="9992" width="11.33203125" style="1" customWidth="1"/>
    <col min="9993" max="10004" width="9.109375" style="1"/>
    <col min="10005" max="10005" width="11" style="1" customWidth="1"/>
    <col min="10006" max="10244" width="9.109375" style="1"/>
    <col min="10245" max="10245" width="14.5546875" style="1" customWidth="1"/>
    <col min="10246" max="10246" width="15.5546875" style="1" customWidth="1"/>
    <col min="10247" max="10247" width="16.5546875" style="1" customWidth="1"/>
    <col min="10248" max="10248" width="11.33203125" style="1" customWidth="1"/>
    <col min="10249" max="10260" width="9.109375" style="1"/>
    <col min="10261" max="10261" width="11" style="1" customWidth="1"/>
    <col min="10262" max="10500" width="9.109375" style="1"/>
    <col min="10501" max="10501" width="14.5546875" style="1" customWidth="1"/>
    <col min="10502" max="10502" width="15.5546875" style="1" customWidth="1"/>
    <col min="10503" max="10503" width="16.5546875" style="1" customWidth="1"/>
    <col min="10504" max="10504" width="11.33203125" style="1" customWidth="1"/>
    <col min="10505" max="10516" width="9.109375" style="1"/>
    <col min="10517" max="10517" width="11" style="1" customWidth="1"/>
    <col min="10518" max="10756" width="9.109375" style="1"/>
    <col min="10757" max="10757" width="14.5546875" style="1" customWidth="1"/>
    <col min="10758" max="10758" width="15.5546875" style="1" customWidth="1"/>
    <col min="10759" max="10759" width="16.5546875" style="1" customWidth="1"/>
    <col min="10760" max="10760" width="11.33203125" style="1" customWidth="1"/>
    <col min="10761" max="10772" width="9.109375" style="1"/>
    <col min="10773" max="10773" width="11" style="1" customWidth="1"/>
    <col min="10774" max="11012" width="9.109375" style="1"/>
    <col min="11013" max="11013" width="14.5546875" style="1" customWidth="1"/>
    <col min="11014" max="11014" width="15.5546875" style="1" customWidth="1"/>
    <col min="11015" max="11015" width="16.5546875" style="1" customWidth="1"/>
    <col min="11016" max="11016" width="11.33203125" style="1" customWidth="1"/>
    <col min="11017" max="11028" width="9.109375" style="1"/>
    <col min="11029" max="11029" width="11" style="1" customWidth="1"/>
    <col min="11030" max="11268" width="9.109375" style="1"/>
    <col min="11269" max="11269" width="14.5546875" style="1" customWidth="1"/>
    <col min="11270" max="11270" width="15.5546875" style="1" customWidth="1"/>
    <col min="11271" max="11271" width="16.5546875" style="1" customWidth="1"/>
    <col min="11272" max="11272" width="11.33203125" style="1" customWidth="1"/>
    <col min="11273" max="11284" width="9.109375" style="1"/>
    <col min="11285" max="11285" width="11" style="1" customWidth="1"/>
    <col min="11286" max="11524" width="9.109375" style="1"/>
    <col min="11525" max="11525" width="14.5546875" style="1" customWidth="1"/>
    <col min="11526" max="11526" width="15.5546875" style="1" customWidth="1"/>
    <col min="11527" max="11527" width="16.5546875" style="1" customWidth="1"/>
    <col min="11528" max="11528" width="11.33203125" style="1" customWidth="1"/>
    <col min="11529" max="11540" width="9.109375" style="1"/>
    <col min="11541" max="11541" width="11" style="1" customWidth="1"/>
    <col min="11542" max="11780" width="9.109375" style="1"/>
    <col min="11781" max="11781" width="14.5546875" style="1" customWidth="1"/>
    <col min="11782" max="11782" width="15.5546875" style="1" customWidth="1"/>
    <col min="11783" max="11783" width="16.5546875" style="1" customWidth="1"/>
    <col min="11784" max="11784" width="11.33203125" style="1" customWidth="1"/>
    <col min="11785" max="11796" width="9.109375" style="1"/>
    <col min="11797" max="11797" width="11" style="1" customWidth="1"/>
    <col min="11798" max="12036" width="9.109375" style="1"/>
    <col min="12037" max="12037" width="14.5546875" style="1" customWidth="1"/>
    <col min="12038" max="12038" width="15.5546875" style="1" customWidth="1"/>
    <col min="12039" max="12039" width="16.5546875" style="1" customWidth="1"/>
    <col min="12040" max="12040" width="11.33203125" style="1" customWidth="1"/>
    <col min="12041" max="12052" width="9.109375" style="1"/>
    <col min="12053" max="12053" width="11" style="1" customWidth="1"/>
    <col min="12054" max="12292" width="9.109375" style="1"/>
    <col min="12293" max="12293" width="14.5546875" style="1" customWidth="1"/>
    <col min="12294" max="12294" width="15.5546875" style="1" customWidth="1"/>
    <col min="12295" max="12295" width="16.5546875" style="1" customWidth="1"/>
    <col min="12296" max="12296" width="11.33203125" style="1" customWidth="1"/>
    <col min="12297" max="12308" width="9.109375" style="1"/>
    <col min="12309" max="12309" width="11" style="1" customWidth="1"/>
    <col min="12310" max="12548" width="9.109375" style="1"/>
    <col min="12549" max="12549" width="14.5546875" style="1" customWidth="1"/>
    <col min="12550" max="12550" width="15.5546875" style="1" customWidth="1"/>
    <col min="12551" max="12551" width="16.5546875" style="1" customWidth="1"/>
    <col min="12552" max="12552" width="11.33203125" style="1" customWidth="1"/>
    <col min="12553" max="12564" width="9.109375" style="1"/>
    <col min="12565" max="12565" width="11" style="1" customWidth="1"/>
    <col min="12566" max="12804" width="9.109375" style="1"/>
    <col min="12805" max="12805" width="14.5546875" style="1" customWidth="1"/>
    <col min="12806" max="12806" width="15.5546875" style="1" customWidth="1"/>
    <col min="12807" max="12807" width="16.5546875" style="1" customWidth="1"/>
    <col min="12808" max="12808" width="11.33203125" style="1" customWidth="1"/>
    <col min="12809" max="12820" width="9.109375" style="1"/>
    <col min="12821" max="12821" width="11" style="1" customWidth="1"/>
    <col min="12822" max="13060" width="9.109375" style="1"/>
    <col min="13061" max="13061" width="14.5546875" style="1" customWidth="1"/>
    <col min="13062" max="13062" width="15.5546875" style="1" customWidth="1"/>
    <col min="13063" max="13063" width="16.5546875" style="1" customWidth="1"/>
    <col min="13064" max="13064" width="11.33203125" style="1" customWidth="1"/>
    <col min="13065" max="13076" width="9.109375" style="1"/>
    <col min="13077" max="13077" width="11" style="1" customWidth="1"/>
    <col min="13078" max="13316" width="9.109375" style="1"/>
    <col min="13317" max="13317" width="14.5546875" style="1" customWidth="1"/>
    <col min="13318" max="13318" width="15.5546875" style="1" customWidth="1"/>
    <col min="13319" max="13319" width="16.5546875" style="1" customWidth="1"/>
    <col min="13320" max="13320" width="11.33203125" style="1" customWidth="1"/>
    <col min="13321" max="13332" width="9.109375" style="1"/>
    <col min="13333" max="13333" width="11" style="1" customWidth="1"/>
    <col min="13334" max="13572" width="9.109375" style="1"/>
    <col min="13573" max="13573" width="14.5546875" style="1" customWidth="1"/>
    <col min="13574" max="13574" width="15.5546875" style="1" customWidth="1"/>
    <col min="13575" max="13575" width="16.5546875" style="1" customWidth="1"/>
    <col min="13576" max="13576" width="11.33203125" style="1" customWidth="1"/>
    <col min="13577" max="13588" width="9.109375" style="1"/>
    <col min="13589" max="13589" width="11" style="1" customWidth="1"/>
    <col min="13590" max="13828" width="9.109375" style="1"/>
    <col min="13829" max="13829" width="14.5546875" style="1" customWidth="1"/>
    <col min="13830" max="13830" width="15.5546875" style="1" customWidth="1"/>
    <col min="13831" max="13831" width="16.5546875" style="1" customWidth="1"/>
    <col min="13832" max="13832" width="11.33203125" style="1" customWidth="1"/>
    <col min="13833" max="13844" width="9.109375" style="1"/>
    <col min="13845" max="13845" width="11" style="1" customWidth="1"/>
    <col min="13846" max="14084" width="9.109375" style="1"/>
    <col min="14085" max="14085" width="14.5546875" style="1" customWidth="1"/>
    <col min="14086" max="14086" width="15.5546875" style="1" customWidth="1"/>
    <col min="14087" max="14087" width="16.5546875" style="1" customWidth="1"/>
    <col min="14088" max="14088" width="11.33203125" style="1" customWidth="1"/>
    <col min="14089" max="14100" width="9.109375" style="1"/>
    <col min="14101" max="14101" width="11" style="1" customWidth="1"/>
    <col min="14102" max="14340" width="9.109375" style="1"/>
    <col min="14341" max="14341" width="14.5546875" style="1" customWidth="1"/>
    <col min="14342" max="14342" width="15.5546875" style="1" customWidth="1"/>
    <col min="14343" max="14343" width="16.5546875" style="1" customWidth="1"/>
    <col min="14344" max="14344" width="11.33203125" style="1" customWidth="1"/>
    <col min="14345" max="14356" width="9.109375" style="1"/>
    <col min="14357" max="14357" width="11" style="1" customWidth="1"/>
    <col min="14358" max="14596" width="9.109375" style="1"/>
    <col min="14597" max="14597" width="14.5546875" style="1" customWidth="1"/>
    <col min="14598" max="14598" width="15.5546875" style="1" customWidth="1"/>
    <col min="14599" max="14599" width="16.5546875" style="1" customWidth="1"/>
    <col min="14600" max="14600" width="11.33203125" style="1" customWidth="1"/>
    <col min="14601" max="14612" width="9.109375" style="1"/>
    <col min="14613" max="14613" width="11" style="1" customWidth="1"/>
    <col min="14614" max="14852" width="9.109375" style="1"/>
    <col min="14853" max="14853" width="14.5546875" style="1" customWidth="1"/>
    <col min="14854" max="14854" width="15.5546875" style="1" customWidth="1"/>
    <col min="14855" max="14855" width="16.5546875" style="1" customWidth="1"/>
    <col min="14856" max="14856" width="11.33203125" style="1" customWidth="1"/>
    <col min="14857" max="14868" width="9.109375" style="1"/>
    <col min="14869" max="14869" width="11" style="1" customWidth="1"/>
    <col min="14870" max="15108" width="9.109375" style="1"/>
    <col min="15109" max="15109" width="14.5546875" style="1" customWidth="1"/>
    <col min="15110" max="15110" width="15.5546875" style="1" customWidth="1"/>
    <col min="15111" max="15111" width="16.5546875" style="1" customWidth="1"/>
    <col min="15112" max="15112" width="11.33203125" style="1" customWidth="1"/>
    <col min="15113" max="15124" width="9.109375" style="1"/>
    <col min="15125" max="15125" width="11" style="1" customWidth="1"/>
    <col min="15126" max="15364" width="9.109375" style="1"/>
    <col min="15365" max="15365" width="14.5546875" style="1" customWidth="1"/>
    <col min="15366" max="15366" width="15.5546875" style="1" customWidth="1"/>
    <col min="15367" max="15367" width="16.5546875" style="1" customWidth="1"/>
    <col min="15368" max="15368" width="11.33203125" style="1" customWidth="1"/>
    <col min="15369" max="15380" width="9.109375" style="1"/>
    <col min="15381" max="15381" width="11" style="1" customWidth="1"/>
    <col min="15382" max="15620" width="9.109375" style="1"/>
    <col min="15621" max="15621" width="14.5546875" style="1" customWidth="1"/>
    <col min="15622" max="15622" width="15.5546875" style="1" customWidth="1"/>
    <col min="15623" max="15623" width="16.5546875" style="1" customWidth="1"/>
    <col min="15624" max="15624" width="11.33203125" style="1" customWidth="1"/>
    <col min="15625" max="15636" width="9.109375" style="1"/>
    <col min="15637" max="15637" width="11" style="1" customWidth="1"/>
    <col min="15638" max="15876" width="9.109375" style="1"/>
    <col min="15877" max="15877" width="14.5546875" style="1" customWidth="1"/>
    <col min="15878" max="15878" width="15.5546875" style="1" customWidth="1"/>
    <col min="15879" max="15879" width="16.5546875" style="1" customWidth="1"/>
    <col min="15880" max="15880" width="11.33203125" style="1" customWidth="1"/>
    <col min="15881" max="15892" width="9.109375" style="1"/>
    <col min="15893" max="15893" width="11" style="1" customWidth="1"/>
    <col min="15894" max="16132" width="9.109375" style="1"/>
    <col min="16133" max="16133" width="14.5546875" style="1" customWidth="1"/>
    <col min="16134" max="16134" width="15.5546875" style="1" customWidth="1"/>
    <col min="16135" max="16135" width="16.5546875" style="1" customWidth="1"/>
    <col min="16136" max="16136" width="11.33203125" style="1" customWidth="1"/>
    <col min="16137" max="16148" width="9.109375" style="1"/>
    <col min="16149" max="16149" width="11" style="1" customWidth="1"/>
    <col min="16150" max="16384" width="9.109375" style="1"/>
  </cols>
  <sheetData>
    <row r="1" spans="1:43" ht="15" customHeight="1" x14ac:dyDescent="0.3">
      <c r="A1" s="63" t="s">
        <v>14</v>
      </c>
      <c r="B1" s="63"/>
      <c r="C1" s="63"/>
      <c r="D1" s="63"/>
      <c r="E1" s="63"/>
      <c r="F1" s="63"/>
      <c r="G1" s="63"/>
      <c r="H1" s="63"/>
      <c r="I1" s="63"/>
      <c r="J1" s="63"/>
    </row>
    <row r="2" spans="1:43" ht="15" customHeight="1" x14ac:dyDescent="0.3">
      <c r="A2" s="63"/>
      <c r="B2" s="63"/>
      <c r="C2" s="63"/>
      <c r="D2" s="63"/>
      <c r="E2" s="63"/>
      <c r="F2" s="63"/>
      <c r="G2" s="63"/>
      <c r="H2" s="63"/>
      <c r="I2" s="63"/>
      <c r="J2" s="63"/>
    </row>
    <row r="3" spans="1:43" ht="15" customHeight="1" x14ac:dyDescent="0.3">
      <c r="A3" s="63"/>
      <c r="B3" s="63"/>
      <c r="C3" s="63"/>
      <c r="D3" s="63"/>
      <c r="E3" s="63"/>
      <c r="F3" s="63"/>
      <c r="G3" s="63"/>
      <c r="H3" s="63"/>
      <c r="I3" s="63"/>
      <c r="J3" s="63"/>
    </row>
    <row r="4" spans="1:43" ht="15" customHeight="1" x14ac:dyDescent="0.3">
      <c r="A4" s="63"/>
      <c r="B4" s="63"/>
      <c r="C4" s="63"/>
      <c r="D4" s="63"/>
      <c r="E4" s="63"/>
      <c r="F4" s="63"/>
      <c r="G4" s="63"/>
      <c r="H4" s="63"/>
      <c r="I4" s="63"/>
      <c r="J4" s="63"/>
    </row>
    <row r="5" spans="1:43" ht="15" customHeight="1" x14ac:dyDescent="0.3">
      <c r="A5" s="63"/>
      <c r="B5" s="63"/>
      <c r="C5" s="63"/>
      <c r="D5" s="63"/>
      <c r="E5" s="63"/>
      <c r="F5" s="63"/>
      <c r="G5" s="63"/>
      <c r="H5" s="63"/>
      <c r="I5" s="63"/>
      <c r="J5" s="63"/>
    </row>
    <row r="6" spans="1:43" ht="15" customHeight="1" x14ac:dyDescent="0.3">
      <c r="A6" s="63"/>
      <c r="B6" s="63"/>
      <c r="C6" s="63"/>
      <c r="D6" s="63"/>
      <c r="E6" s="63"/>
      <c r="F6" s="63"/>
      <c r="G6" s="63"/>
      <c r="H6" s="63"/>
      <c r="I6" s="63"/>
      <c r="J6" s="63"/>
    </row>
    <row r="7" spans="1:43" ht="15" customHeight="1" x14ac:dyDescent="0.3">
      <c r="A7" s="63"/>
      <c r="B7" s="63"/>
      <c r="C7" s="63"/>
      <c r="D7" s="63"/>
      <c r="E7" s="63"/>
      <c r="F7" s="63"/>
      <c r="G7" s="63"/>
      <c r="H7" s="63"/>
      <c r="I7" s="63"/>
      <c r="J7" s="63"/>
    </row>
    <row r="8" spans="1:43" ht="15" customHeight="1" x14ac:dyDescent="0.3">
      <c r="A8" s="63"/>
      <c r="B8" s="63"/>
      <c r="C8" s="63"/>
      <c r="D8" s="63"/>
      <c r="E8" s="63"/>
      <c r="F8" s="63"/>
      <c r="G8" s="63"/>
      <c r="H8" s="63"/>
      <c r="I8" s="63"/>
      <c r="J8" s="63"/>
    </row>
    <row r="9" spans="1:43" ht="15" customHeight="1" x14ac:dyDescent="0.3">
      <c r="A9" s="63"/>
      <c r="B9" s="63"/>
      <c r="C9" s="63"/>
      <c r="D9" s="63"/>
      <c r="E9" s="63"/>
      <c r="F9" s="63"/>
      <c r="G9" s="63"/>
      <c r="H9" s="63"/>
      <c r="I9" s="63"/>
      <c r="J9" s="63"/>
    </row>
    <row r="10" spans="1:43" ht="15" customHeight="1" x14ac:dyDescent="0.3">
      <c r="A10" s="63"/>
      <c r="B10" s="63"/>
      <c r="C10" s="63"/>
      <c r="D10" s="63"/>
      <c r="E10" s="63"/>
      <c r="F10" s="63"/>
      <c r="G10" s="63"/>
      <c r="H10" s="63"/>
      <c r="I10" s="63"/>
      <c r="J10" s="63"/>
      <c r="AH10"/>
      <c r="AI10"/>
      <c r="AP10" s="1"/>
      <c r="AQ10" s="1"/>
    </row>
    <row r="11" spans="1:43" ht="15" customHeight="1" x14ac:dyDescent="0.3">
      <c r="A11" s="63"/>
      <c r="B11" s="63"/>
      <c r="C11" s="63"/>
      <c r="D11" s="63"/>
      <c r="E11" s="63"/>
      <c r="F11" s="63"/>
      <c r="G11" s="63"/>
      <c r="H11" s="63"/>
      <c r="I11" s="63"/>
      <c r="J11" s="63"/>
      <c r="AH11"/>
      <c r="AI11"/>
      <c r="AP11" s="1"/>
      <c r="AQ11" s="1"/>
    </row>
    <row r="12" spans="1:43" ht="24.75" customHeight="1" x14ac:dyDescent="0.3">
      <c r="A12" s="63"/>
      <c r="B12" s="63"/>
      <c r="C12" s="63"/>
      <c r="D12" s="63"/>
      <c r="E12" s="63"/>
      <c r="F12" s="63"/>
      <c r="G12" s="63"/>
      <c r="H12" s="63"/>
      <c r="I12" s="63"/>
      <c r="J12" s="63"/>
      <c r="AH12"/>
      <c r="AI12"/>
      <c r="AP12" s="1"/>
      <c r="AQ12" s="1"/>
    </row>
    <row r="13" spans="1:43" ht="15" customHeight="1" x14ac:dyDescent="0.3">
      <c r="A13" s="63"/>
      <c r="B13" s="63"/>
      <c r="C13" s="63"/>
      <c r="D13" s="63"/>
      <c r="E13" s="63"/>
      <c r="F13" s="63"/>
      <c r="G13" s="63"/>
      <c r="H13" s="63"/>
      <c r="I13" s="63"/>
      <c r="J13" s="63"/>
      <c r="AH13"/>
      <c r="AI13"/>
      <c r="AP13" s="1"/>
      <c r="AQ13" s="1"/>
    </row>
    <row r="14" spans="1:43" ht="15" customHeight="1" x14ac:dyDescent="0.3">
      <c r="A14" s="63"/>
      <c r="B14" s="63"/>
      <c r="C14" s="63"/>
      <c r="D14" s="63"/>
      <c r="E14" s="63"/>
      <c r="F14" s="63"/>
      <c r="G14" s="63"/>
      <c r="H14" s="63"/>
      <c r="I14" s="63"/>
      <c r="J14" s="63"/>
      <c r="AH14"/>
      <c r="AI14"/>
      <c r="AP14" s="1"/>
      <c r="AQ14" s="1"/>
    </row>
    <row r="15" spans="1:43" ht="15" customHeight="1" x14ac:dyDescent="0.3">
      <c r="A15" s="63"/>
      <c r="B15" s="63"/>
      <c r="C15" s="63"/>
      <c r="D15" s="63"/>
      <c r="E15" s="63"/>
      <c r="F15" s="63"/>
      <c r="G15" s="63"/>
      <c r="H15" s="63"/>
      <c r="I15" s="63"/>
      <c r="J15" s="63"/>
    </row>
    <row r="16" spans="1:43" ht="15" customHeight="1" x14ac:dyDescent="0.3">
      <c r="A16" s="63"/>
      <c r="B16" s="63"/>
      <c r="C16" s="63"/>
      <c r="D16" s="63"/>
      <c r="E16" s="63"/>
      <c r="F16" s="63"/>
      <c r="G16" s="63"/>
      <c r="H16" s="63"/>
      <c r="I16" s="63"/>
      <c r="J16" s="63"/>
    </row>
    <row r="17" spans="1:10" ht="15" customHeight="1" x14ac:dyDescent="0.3">
      <c r="A17" s="63"/>
      <c r="B17" s="63"/>
      <c r="C17" s="63"/>
      <c r="D17" s="63"/>
      <c r="E17" s="63"/>
      <c r="F17" s="63"/>
      <c r="G17" s="63"/>
      <c r="H17" s="63"/>
      <c r="I17" s="63"/>
      <c r="J17" s="63"/>
    </row>
    <row r="18" spans="1:10" ht="15" customHeight="1" x14ac:dyDescent="0.3">
      <c r="A18" s="63"/>
      <c r="B18" s="63"/>
      <c r="C18" s="63"/>
      <c r="D18" s="63"/>
      <c r="E18" s="63"/>
      <c r="F18" s="63"/>
      <c r="G18" s="63"/>
      <c r="H18" s="63"/>
      <c r="I18" s="63"/>
      <c r="J18" s="63"/>
    </row>
    <row r="19" spans="1:10" ht="15" customHeight="1" x14ac:dyDescent="0.3">
      <c r="A19" s="63"/>
      <c r="B19" s="63"/>
      <c r="C19" s="63"/>
      <c r="D19" s="63"/>
      <c r="E19" s="63"/>
      <c r="F19" s="63"/>
      <c r="G19" s="63"/>
      <c r="H19" s="63"/>
      <c r="I19" s="63"/>
      <c r="J19" s="63"/>
    </row>
    <row r="20" spans="1:10" ht="15" customHeight="1" x14ac:dyDescent="0.3">
      <c r="A20" s="63"/>
      <c r="B20" s="63"/>
      <c r="C20" s="63"/>
      <c r="D20" s="63"/>
      <c r="E20" s="63"/>
      <c r="F20" s="63"/>
      <c r="G20" s="63"/>
      <c r="H20" s="63"/>
      <c r="I20" s="63"/>
      <c r="J20" s="63"/>
    </row>
    <row r="21" spans="1:10" ht="15" customHeight="1" x14ac:dyDescent="0.3">
      <c r="A21" s="63"/>
      <c r="B21" s="63"/>
      <c r="C21" s="63"/>
      <c r="D21" s="63"/>
      <c r="E21" s="63"/>
      <c r="F21" s="63"/>
      <c r="G21" s="63"/>
      <c r="H21" s="63"/>
      <c r="I21" s="63"/>
      <c r="J21" s="63"/>
    </row>
    <row r="22" spans="1:10" ht="15" customHeight="1" x14ac:dyDescent="0.3">
      <c r="A22" s="63"/>
      <c r="B22" s="63"/>
      <c r="C22" s="63"/>
      <c r="D22" s="63"/>
      <c r="E22" s="63"/>
      <c r="F22" s="63"/>
      <c r="G22" s="63"/>
      <c r="H22" s="63"/>
      <c r="I22" s="63"/>
      <c r="J22" s="63"/>
    </row>
    <row r="23" spans="1:10" ht="15" customHeight="1" x14ac:dyDescent="0.3">
      <c r="A23" s="63"/>
      <c r="B23" s="63"/>
      <c r="C23" s="63"/>
      <c r="D23" s="63"/>
      <c r="E23" s="63"/>
      <c r="F23" s="63"/>
      <c r="G23" s="63"/>
      <c r="H23" s="63"/>
      <c r="I23" s="63"/>
      <c r="J23" s="63"/>
    </row>
    <row r="24" spans="1:10" ht="15" customHeight="1" x14ac:dyDescent="0.3">
      <c r="A24" s="63"/>
      <c r="B24" s="63"/>
      <c r="C24" s="63"/>
      <c r="D24" s="63"/>
      <c r="E24" s="63"/>
      <c r="F24" s="63"/>
      <c r="G24" s="63"/>
      <c r="H24" s="63"/>
      <c r="I24" s="63"/>
      <c r="J24" s="63"/>
    </row>
    <row r="25" spans="1:10" ht="15" customHeight="1" x14ac:dyDescent="0.3">
      <c r="A25" s="63"/>
      <c r="B25" s="63"/>
      <c r="C25" s="63"/>
      <c r="D25" s="63"/>
      <c r="E25" s="63"/>
      <c r="F25" s="63"/>
      <c r="G25" s="63"/>
      <c r="H25" s="63"/>
      <c r="I25" s="63"/>
      <c r="J25" s="63"/>
    </row>
    <row r="26" spans="1:10" ht="15" customHeight="1" x14ac:dyDescent="0.3">
      <c r="A26" s="63"/>
      <c r="B26" s="63"/>
      <c r="C26" s="63"/>
      <c r="D26" s="63"/>
      <c r="E26" s="63"/>
      <c r="F26" s="63"/>
      <c r="G26" s="63"/>
      <c r="H26" s="63"/>
      <c r="I26" s="63"/>
      <c r="J26" s="63"/>
    </row>
    <row r="27" spans="1:10" ht="15" customHeight="1" x14ac:dyDescent="0.3">
      <c r="A27" s="63"/>
      <c r="B27" s="63"/>
      <c r="C27" s="63"/>
      <c r="D27" s="63"/>
      <c r="E27" s="63"/>
      <c r="F27" s="63"/>
      <c r="G27" s="63"/>
      <c r="H27" s="63"/>
      <c r="I27" s="63"/>
      <c r="J27" s="63"/>
    </row>
    <row r="28" spans="1:10" ht="15" customHeight="1" x14ac:dyDescent="0.3">
      <c r="A28" s="63"/>
      <c r="B28" s="63"/>
      <c r="C28" s="63"/>
      <c r="D28" s="63"/>
      <c r="E28" s="63"/>
      <c r="F28" s="63"/>
      <c r="G28" s="63"/>
      <c r="H28" s="63"/>
      <c r="I28" s="63"/>
      <c r="J28" s="63"/>
    </row>
    <row r="29" spans="1:10" ht="15" customHeight="1" x14ac:dyDescent="0.3">
      <c r="A29" s="63"/>
      <c r="B29" s="63"/>
      <c r="C29" s="63"/>
      <c r="D29" s="63"/>
      <c r="E29" s="63"/>
      <c r="F29" s="63"/>
      <c r="G29" s="63"/>
      <c r="H29" s="63"/>
      <c r="I29" s="63"/>
      <c r="J29" s="63"/>
    </row>
    <row r="30" spans="1:10" ht="15" customHeight="1" x14ac:dyDescent="0.3">
      <c r="A30" s="63"/>
      <c r="B30" s="63"/>
      <c r="C30" s="63"/>
      <c r="D30" s="63"/>
      <c r="E30" s="63"/>
      <c r="F30" s="63"/>
      <c r="G30" s="63"/>
      <c r="H30" s="63"/>
      <c r="I30" s="63"/>
      <c r="J30" s="63"/>
    </row>
    <row r="31" spans="1:10" ht="15" customHeight="1" x14ac:dyDescent="0.3">
      <c r="A31" s="63"/>
      <c r="B31" s="63"/>
      <c r="C31" s="63"/>
      <c r="D31" s="63"/>
      <c r="E31" s="63"/>
      <c r="F31" s="63"/>
      <c r="G31" s="63"/>
      <c r="H31" s="63"/>
      <c r="I31" s="63"/>
      <c r="J31" s="63"/>
    </row>
    <row r="32" spans="1:10" ht="15" customHeight="1" x14ac:dyDescent="0.3">
      <c r="A32" s="63"/>
      <c r="B32" s="63"/>
      <c r="C32" s="63"/>
      <c r="D32" s="63"/>
      <c r="E32" s="63"/>
      <c r="F32" s="63"/>
      <c r="G32" s="63"/>
      <c r="H32" s="63"/>
      <c r="I32" s="63"/>
      <c r="J32" s="63"/>
    </row>
    <row r="33" spans="1:10" ht="15" customHeight="1" x14ac:dyDescent="0.3">
      <c r="A33" s="63"/>
      <c r="B33" s="63"/>
      <c r="C33" s="63"/>
      <c r="D33" s="63"/>
      <c r="E33" s="63"/>
      <c r="F33" s="63"/>
      <c r="G33" s="63"/>
      <c r="H33" s="63"/>
      <c r="I33" s="63"/>
      <c r="J33" s="63"/>
    </row>
    <row r="34" spans="1:10" ht="15" customHeight="1" x14ac:dyDescent="0.3">
      <c r="A34" s="63"/>
      <c r="B34" s="63"/>
      <c r="C34" s="63"/>
      <c r="D34" s="63"/>
      <c r="E34" s="63"/>
      <c r="F34" s="63"/>
      <c r="G34" s="63"/>
      <c r="H34" s="63"/>
      <c r="I34" s="63"/>
      <c r="J34" s="63"/>
    </row>
    <row r="35" spans="1:10" ht="15" customHeight="1" x14ac:dyDescent="0.3">
      <c r="A35" s="63"/>
      <c r="B35" s="63"/>
      <c r="C35" s="63"/>
      <c r="D35" s="63"/>
      <c r="E35" s="63"/>
      <c r="F35" s="63"/>
      <c r="G35" s="63"/>
      <c r="H35" s="63"/>
      <c r="I35" s="63"/>
      <c r="J35" s="63"/>
    </row>
    <row r="36" spans="1:10" ht="15" customHeight="1" x14ac:dyDescent="0.3">
      <c r="A36" s="63"/>
      <c r="B36" s="63"/>
      <c r="C36" s="63"/>
      <c r="D36" s="63"/>
      <c r="E36" s="63"/>
      <c r="F36" s="63"/>
      <c r="G36" s="63"/>
      <c r="H36" s="63"/>
      <c r="I36" s="63"/>
      <c r="J36" s="63"/>
    </row>
    <row r="37" spans="1:10" ht="15" customHeight="1" x14ac:dyDescent="0.3">
      <c r="A37" s="63"/>
      <c r="B37" s="63"/>
      <c r="C37" s="63"/>
      <c r="D37" s="63"/>
      <c r="E37" s="63"/>
      <c r="F37" s="63"/>
      <c r="G37" s="63"/>
      <c r="H37" s="63"/>
      <c r="I37" s="63"/>
      <c r="J37" s="63"/>
    </row>
    <row r="38" spans="1:10" ht="15" customHeight="1" x14ac:dyDescent="0.3">
      <c r="A38" s="63"/>
      <c r="B38" s="63"/>
      <c r="C38" s="63"/>
      <c r="D38" s="63"/>
      <c r="E38" s="63"/>
      <c r="F38" s="63"/>
      <c r="G38" s="63"/>
      <c r="H38" s="63"/>
      <c r="I38" s="63"/>
      <c r="J38" s="63"/>
    </row>
    <row r="39" spans="1:10" ht="15" customHeight="1" x14ac:dyDescent="0.3">
      <c r="A39" s="63"/>
      <c r="B39" s="63"/>
      <c r="C39" s="63"/>
      <c r="D39" s="63"/>
      <c r="E39" s="63"/>
      <c r="F39" s="63"/>
      <c r="G39" s="63"/>
      <c r="H39" s="63"/>
      <c r="I39" s="63"/>
      <c r="J39" s="63"/>
    </row>
    <row r="40" spans="1:10" ht="15" customHeight="1" x14ac:dyDescent="0.3">
      <c r="A40" s="63"/>
      <c r="B40" s="63"/>
      <c r="C40" s="63"/>
      <c r="D40" s="63"/>
      <c r="E40" s="63"/>
      <c r="F40" s="63"/>
      <c r="G40" s="63"/>
      <c r="H40" s="63"/>
      <c r="I40" s="63"/>
      <c r="J40" s="63"/>
    </row>
    <row r="41" spans="1:10" ht="15" customHeight="1" x14ac:dyDescent="0.3">
      <c r="A41" s="63"/>
      <c r="B41" s="63"/>
      <c r="C41" s="63"/>
      <c r="D41" s="63"/>
      <c r="E41" s="63"/>
      <c r="F41" s="63"/>
      <c r="G41" s="63"/>
      <c r="H41" s="63"/>
      <c r="I41" s="63"/>
      <c r="J41" s="63"/>
    </row>
    <row r="42" spans="1:10" ht="15" customHeight="1" x14ac:dyDescent="0.3">
      <c r="A42" s="63"/>
      <c r="B42" s="63"/>
      <c r="C42" s="63"/>
      <c r="D42" s="63"/>
      <c r="E42" s="63"/>
      <c r="F42" s="63"/>
      <c r="G42" s="63"/>
      <c r="H42" s="63"/>
      <c r="I42" s="63"/>
      <c r="J42" s="63"/>
    </row>
    <row r="43" spans="1:10" ht="15" customHeight="1" x14ac:dyDescent="0.3">
      <c r="A43" s="63"/>
      <c r="B43" s="63"/>
      <c r="C43" s="63"/>
      <c r="D43" s="63"/>
      <c r="E43" s="63"/>
      <c r="F43" s="63"/>
      <c r="G43" s="63"/>
      <c r="H43" s="63"/>
      <c r="I43" s="63"/>
      <c r="J43" s="63"/>
    </row>
    <row r="44" spans="1:10" ht="15" customHeight="1" x14ac:dyDescent="0.3">
      <c r="A44" s="63"/>
      <c r="B44" s="63"/>
      <c r="C44" s="63"/>
      <c r="D44" s="63"/>
      <c r="E44" s="63"/>
      <c r="F44" s="63"/>
      <c r="G44" s="63"/>
      <c r="H44" s="63"/>
      <c r="I44" s="63"/>
      <c r="J44" s="63"/>
    </row>
    <row r="45" spans="1:10" ht="15" customHeight="1" x14ac:dyDescent="0.3">
      <c r="A45" s="63"/>
      <c r="B45" s="63"/>
      <c r="C45" s="63"/>
      <c r="D45" s="63"/>
      <c r="E45" s="63"/>
      <c r="F45" s="63"/>
      <c r="G45" s="63"/>
      <c r="H45" s="63"/>
      <c r="I45" s="63"/>
      <c r="J45" s="63"/>
    </row>
    <row r="46" spans="1:10" ht="15" customHeight="1" x14ac:dyDescent="0.3">
      <c r="A46" s="63"/>
      <c r="B46" s="63"/>
      <c r="C46" s="63"/>
      <c r="D46" s="63"/>
      <c r="E46" s="63"/>
      <c r="F46" s="63"/>
      <c r="G46" s="63"/>
      <c r="H46" s="63"/>
      <c r="I46" s="63"/>
      <c r="J46" s="63"/>
    </row>
    <row r="47" spans="1:10" ht="15" customHeight="1" x14ac:dyDescent="0.3">
      <c r="A47" s="63"/>
      <c r="B47" s="63"/>
      <c r="C47" s="63"/>
      <c r="D47" s="63"/>
      <c r="E47" s="63"/>
      <c r="F47" s="63"/>
      <c r="G47" s="63"/>
      <c r="H47" s="63"/>
      <c r="I47" s="63"/>
      <c r="J47" s="63"/>
    </row>
    <row r="48" spans="1:10" ht="15" customHeight="1" x14ac:dyDescent="0.3">
      <c r="A48" s="63"/>
      <c r="B48" s="63"/>
      <c r="C48" s="63"/>
      <c r="D48" s="63"/>
      <c r="E48" s="63"/>
      <c r="F48" s="63"/>
      <c r="G48" s="63"/>
      <c r="H48" s="63"/>
      <c r="I48" s="63"/>
      <c r="J48" s="63"/>
    </row>
    <row r="49" spans="1:10" ht="15" customHeight="1" x14ac:dyDescent="0.3">
      <c r="A49" s="27"/>
      <c r="B49" s="27"/>
      <c r="C49" s="27"/>
      <c r="D49" s="27"/>
      <c r="E49" s="27"/>
      <c r="F49" s="27"/>
      <c r="G49" s="27"/>
      <c r="H49" s="27"/>
      <c r="I49" s="27"/>
    </row>
    <row r="50" spans="1:10" ht="16.2" x14ac:dyDescent="0.35">
      <c r="A50" s="2" t="s">
        <v>120</v>
      </c>
    </row>
    <row r="51" spans="1:10" ht="15" customHeight="1" x14ac:dyDescent="0.3">
      <c r="A51" s="61" t="s">
        <v>90</v>
      </c>
      <c r="B51" s="61"/>
      <c r="C51" s="61"/>
      <c r="D51" s="61"/>
      <c r="E51" s="61"/>
      <c r="F51" s="61"/>
      <c r="G51" s="61"/>
      <c r="H51" s="61"/>
      <c r="I51" s="61"/>
      <c r="J51" s="61"/>
    </row>
    <row r="52" spans="1:10" ht="15" customHeight="1" x14ac:dyDescent="0.3">
      <c r="A52" s="61"/>
      <c r="B52" s="61"/>
      <c r="C52" s="61"/>
      <c r="D52" s="61"/>
      <c r="E52" s="61"/>
      <c r="F52" s="61"/>
      <c r="G52" s="61"/>
      <c r="H52" s="61"/>
      <c r="I52" s="61"/>
      <c r="J52" s="61"/>
    </row>
    <row r="69" spans="1:44" x14ac:dyDescent="0.3">
      <c r="A69" s="3" t="s">
        <v>0</v>
      </c>
      <c r="B69" s="3">
        <v>2010</v>
      </c>
      <c r="C69" s="3">
        <f>B69+1</f>
        <v>2011</v>
      </c>
      <c r="D69" s="3">
        <f t="shared" ref="D69:J69" si="0">C69+1</f>
        <v>2012</v>
      </c>
      <c r="E69" s="3">
        <f t="shared" si="0"/>
        <v>2013</v>
      </c>
      <c r="F69" s="3">
        <f t="shared" si="0"/>
        <v>2014</v>
      </c>
      <c r="G69" s="3">
        <f t="shared" si="0"/>
        <v>2015</v>
      </c>
      <c r="H69" s="3">
        <f t="shared" si="0"/>
        <v>2016</v>
      </c>
      <c r="I69" s="3">
        <f t="shared" si="0"/>
        <v>2017</v>
      </c>
      <c r="J69" s="3">
        <f t="shared" si="0"/>
        <v>2018</v>
      </c>
      <c r="AP69" s="1"/>
      <c r="AR69"/>
    </row>
    <row r="70" spans="1:44" x14ac:dyDescent="0.3">
      <c r="A70" s="9" t="s">
        <v>2</v>
      </c>
      <c r="B70" s="3">
        <f>SUM(Calculate!C10:C11)</f>
        <v>19</v>
      </c>
      <c r="C70" s="3">
        <f>SUM(Calculate!D10:D11)</f>
        <v>15</v>
      </c>
      <c r="D70" s="3">
        <f>SUM(Calculate!E10:E11)</f>
        <v>7</v>
      </c>
      <c r="E70" s="3">
        <f>SUM(Calculate!F10:F11)</f>
        <v>28</v>
      </c>
      <c r="F70" s="3">
        <f>SUM(Calculate!G10:G11)</f>
        <v>26</v>
      </c>
      <c r="G70" s="3">
        <f>SUM(Calculate!H10:H11)</f>
        <v>30</v>
      </c>
      <c r="H70" s="3">
        <f>SUM(Calculate!I10:I11)</f>
        <v>22</v>
      </c>
      <c r="I70" s="3">
        <f>SUM(Calculate!J10:J11)</f>
        <v>31</v>
      </c>
      <c r="J70" s="3">
        <f>SUM(Calculate!K10:K11)</f>
        <v>7</v>
      </c>
      <c r="AP70" s="1"/>
      <c r="AR70"/>
    </row>
    <row r="71" spans="1:44" x14ac:dyDescent="0.3">
      <c r="A71" s="1" t="s">
        <v>73</v>
      </c>
      <c r="B71" s="71" t="s">
        <v>74</v>
      </c>
      <c r="C71" s="71"/>
      <c r="D71" s="1">
        <f>Calculate!S11</f>
        <v>8</v>
      </c>
      <c r="E71" s="1" t="s">
        <v>44</v>
      </c>
      <c r="F71" s="71" t="s">
        <v>75</v>
      </c>
      <c r="G71" s="71"/>
      <c r="H71" s="1">
        <f>Calculate!S10</f>
        <v>177</v>
      </c>
      <c r="I71" s="1" t="s">
        <v>44</v>
      </c>
      <c r="AP71" s="1"/>
      <c r="AR71"/>
    </row>
    <row r="72" spans="1:44" x14ac:dyDescent="0.3">
      <c r="B72" s="29"/>
      <c r="C72" s="29"/>
      <c r="D72" s="44">
        <f>D71/(D71+H71)</f>
        <v>4.3243243243243246E-2</v>
      </c>
      <c r="H72" s="45">
        <f>H71/(D71+H71)</f>
        <v>0.95675675675675675</v>
      </c>
      <c r="AP72" s="1"/>
      <c r="AR72"/>
    </row>
    <row r="73" spans="1:44" ht="15.75" customHeight="1" x14ac:dyDescent="0.3">
      <c r="A73" s="64" t="s">
        <v>137</v>
      </c>
      <c r="B73" s="64"/>
      <c r="C73" s="64"/>
      <c r="D73" s="64"/>
      <c r="E73" s="64"/>
      <c r="F73" s="64"/>
      <c r="G73" s="64"/>
      <c r="H73" s="64"/>
      <c r="I73" s="64"/>
      <c r="J73" s="64"/>
    </row>
    <row r="75" spans="1:44" ht="15" customHeight="1" x14ac:dyDescent="0.3">
      <c r="A75" s="61" t="s">
        <v>95</v>
      </c>
      <c r="B75" s="61"/>
      <c r="C75" s="61"/>
      <c r="D75" s="61"/>
      <c r="E75" s="61"/>
      <c r="F75" s="61"/>
      <c r="G75" s="61"/>
      <c r="H75" s="61"/>
      <c r="I75" s="61"/>
      <c r="J75" s="61"/>
    </row>
    <row r="76" spans="1:44" ht="15" customHeight="1" x14ac:dyDescent="0.3">
      <c r="A76" s="61"/>
      <c r="B76" s="61"/>
      <c r="C76" s="61"/>
      <c r="D76" s="61"/>
      <c r="E76" s="61"/>
      <c r="F76" s="61"/>
      <c r="G76" s="61"/>
      <c r="H76" s="61"/>
      <c r="I76" s="61"/>
      <c r="J76" s="61"/>
    </row>
    <row r="93" spans="1:44" x14ac:dyDescent="0.3">
      <c r="A93" s="3" t="s">
        <v>0</v>
      </c>
      <c r="B93" s="3">
        <v>2010</v>
      </c>
      <c r="C93" s="3">
        <f>B93+1</f>
        <v>2011</v>
      </c>
      <c r="D93" s="3">
        <f t="shared" ref="D93:J93" si="1">C93+1</f>
        <v>2012</v>
      </c>
      <c r="E93" s="3">
        <f t="shared" si="1"/>
        <v>2013</v>
      </c>
      <c r="F93" s="3">
        <f t="shared" si="1"/>
        <v>2014</v>
      </c>
      <c r="G93" s="3">
        <f t="shared" si="1"/>
        <v>2015</v>
      </c>
      <c r="H93" s="3">
        <f t="shared" si="1"/>
        <v>2016</v>
      </c>
      <c r="I93" s="3">
        <f t="shared" si="1"/>
        <v>2017</v>
      </c>
      <c r="J93" s="3">
        <f t="shared" si="1"/>
        <v>2018</v>
      </c>
      <c r="AP93" s="1"/>
      <c r="AR93"/>
    </row>
    <row r="94" spans="1:44" x14ac:dyDescent="0.3">
      <c r="A94" s="69" t="s">
        <v>3</v>
      </c>
      <c r="B94" s="3">
        <f>Calculate!BM3</f>
        <v>19</v>
      </c>
      <c r="C94" s="3">
        <f>Calculate!BM4</f>
        <v>15</v>
      </c>
      <c r="D94" s="3">
        <f>Calculate!BM5</f>
        <v>7</v>
      </c>
      <c r="E94" s="3">
        <f>Calculate!BM6</f>
        <v>28</v>
      </c>
      <c r="F94" s="3">
        <f>Calculate!BM7</f>
        <v>20</v>
      </c>
      <c r="G94" s="3">
        <f>Calculate!BM8</f>
        <v>21</v>
      </c>
      <c r="H94" s="3">
        <f>Calculate!BM9</f>
        <v>16</v>
      </c>
      <c r="I94" s="3">
        <f>Calculate!BM10</f>
        <v>31</v>
      </c>
      <c r="J94" s="3">
        <f>Calculate!BM11</f>
        <v>5</v>
      </c>
      <c r="AP94" s="1"/>
      <c r="AR94"/>
    </row>
    <row r="95" spans="1:44" x14ac:dyDescent="0.3">
      <c r="A95" s="70"/>
      <c r="B95" s="50">
        <f t="shared" ref="B95:J95" si="2">IFERROR(B94/(B94+B96),0)</f>
        <v>1</v>
      </c>
      <c r="C95" s="50">
        <f t="shared" si="2"/>
        <v>1</v>
      </c>
      <c r="D95" s="50">
        <f t="shared" si="2"/>
        <v>1</v>
      </c>
      <c r="E95" s="50">
        <f t="shared" si="2"/>
        <v>1</v>
      </c>
      <c r="F95" s="50">
        <f t="shared" si="2"/>
        <v>0.76923076923076927</v>
      </c>
      <c r="G95" s="50">
        <f t="shared" si="2"/>
        <v>0.7</v>
      </c>
      <c r="H95" s="50">
        <f t="shared" si="2"/>
        <v>0.72727272727272729</v>
      </c>
      <c r="I95" s="50">
        <f t="shared" si="2"/>
        <v>1</v>
      </c>
      <c r="J95" s="50">
        <f t="shared" si="2"/>
        <v>0.7142857142857143</v>
      </c>
      <c r="AP95" s="1"/>
      <c r="AR95"/>
    </row>
    <row r="96" spans="1:44" x14ac:dyDescent="0.3">
      <c r="A96" s="69" t="s">
        <v>4</v>
      </c>
      <c r="B96" s="3">
        <f>Calculate!BN3</f>
        <v>0</v>
      </c>
      <c r="C96" s="3">
        <f>Calculate!BN4</f>
        <v>0</v>
      </c>
      <c r="D96" s="3">
        <f>Calculate!BN5</f>
        <v>0</v>
      </c>
      <c r="E96" s="3">
        <f>Calculate!BN6</f>
        <v>0</v>
      </c>
      <c r="F96" s="3">
        <f>Calculate!BN7</f>
        <v>6</v>
      </c>
      <c r="G96" s="3">
        <f>Calculate!BN8</f>
        <v>9</v>
      </c>
      <c r="H96" s="3">
        <f>Calculate!BN9</f>
        <v>6</v>
      </c>
      <c r="I96" s="3">
        <f>Calculate!BN10</f>
        <v>0</v>
      </c>
      <c r="J96" s="3">
        <f>Calculate!BN11</f>
        <v>2</v>
      </c>
      <c r="AP96" s="1"/>
      <c r="AR96"/>
    </row>
    <row r="97" spans="1:44" x14ac:dyDescent="0.3">
      <c r="A97" s="70"/>
      <c r="B97" s="50">
        <f t="shared" ref="B97:J97" si="3">IFERROR(B96/(B94+B96),0)</f>
        <v>0</v>
      </c>
      <c r="C97" s="50">
        <f t="shared" si="3"/>
        <v>0</v>
      </c>
      <c r="D97" s="50">
        <f t="shared" si="3"/>
        <v>0</v>
      </c>
      <c r="E97" s="50">
        <f t="shared" si="3"/>
        <v>0</v>
      </c>
      <c r="F97" s="50">
        <f t="shared" si="3"/>
        <v>0.23076923076923078</v>
      </c>
      <c r="G97" s="50">
        <f t="shared" si="3"/>
        <v>0.3</v>
      </c>
      <c r="H97" s="50">
        <f t="shared" si="3"/>
        <v>0.27272727272727271</v>
      </c>
      <c r="I97" s="50">
        <f t="shared" si="3"/>
        <v>0</v>
      </c>
      <c r="J97" s="50">
        <f t="shared" si="3"/>
        <v>0.2857142857142857</v>
      </c>
      <c r="AP97" s="1"/>
      <c r="AR97"/>
    </row>
    <row r="98" spans="1:44" ht="15" customHeight="1" x14ac:dyDescent="0.3">
      <c r="A98" s="1" t="s">
        <v>5</v>
      </c>
    </row>
    <row r="99" spans="1:44" ht="15.75" customHeight="1" x14ac:dyDescent="0.3">
      <c r="A99" s="64" t="s">
        <v>138</v>
      </c>
      <c r="B99" s="64"/>
      <c r="C99" s="64"/>
      <c r="D99" s="64"/>
      <c r="E99" s="64"/>
      <c r="F99" s="64"/>
      <c r="G99" s="64"/>
      <c r="H99" s="64"/>
      <c r="I99" s="64"/>
      <c r="J99" s="64"/>
    </row>
    <row r="100" spans="1:44" ht="15.75" customHeight="1" x14ac:dyDescent="0.3">
      <c r="A100" s="66" t="s">
        <v>245</v>
      </c>
      <c r="B100" s="66"/>
      <c r="C100" s="66"/>
      <c r="D100" s="66"/>
      <c r="E100" s="66"/>
      <c r="F100" s="66"/>
      <c r="G100" s="66"/>
      <c r="H100" s="66"/>
      <c r="I100" s="66"/>
      <c r="J100" s="66"/>
    </row>
    <row r="101" spans="1:44" ht="15.75" customHeight="1" x14ac:dyDescent="0.3">
      <c r="A101" s="66"/>
      <c r="B101" s="66"/>
      <c r="C101" s="66"/>
      <c r="D101" s="66"/>
      <c r="E101" s="66"/>
      <c r="F101" s="66"/>
      <c r="G101" s="66"/>
      <c r="H101" s="66"/>
      <c r="I101" s="66"/>
      <c r="J101" s="66"/>
    </row>
    <row r="102" spans="1:44" ht="15" customHeight="1" x14ac:dyDescent="0.3">
      <c r="A102" s="61" t="s">
        <v>113</v>
      </c>
      <c r="B102" s="61"/>
      <c r="C102" s="61"/>
      <c r="D102" s="61"/>
      <c r="E102" s="61"/>
      <c r="F102" s="61"/>
      <c r="G102" s="61"/>
      <c r="H102" s="61"/>
      <c r="I102" s="61"/>
      <c r="J102" s="61"/>
    </row>
    <row r="103" spans="1:44" ht="15" customHeight="1" x14ac:dyDescent="0.3">
      <c r="A103" s="61"/>
      <c r="B103" s="61"/>
      <c r="C103" s="61"/>
      <c r="D103" s="61"/>
      <c r="E103" s="61"/>
      <c r="F103" s="61"/>
      <c r="G103" s="61"/>
      <c r="H103" s="61"/>
      <c r="I103" s="61"/>
      <c r="J103" s="61"/>
    </row>
    <row r="104" spans="1:44" ht="15.75" customHeight="1" x14ac:dyDescent="0.3">
      <c r="A104" s="61"/>
      <c r="B104" s="61"/>
      <c r="C104" s="61"/>
      <c r="D104" s="61"/>
      <c r="E104" s="61"/>
      <c r="F104" s="61"/>
      <c r="G104" s="61"/>
      <c r="H104" s="61"/>
      <c r="I104" s="61"/>
      <c r="J104" s="61"/>
    </row>
    <row r="122" spans="1:10" ht="15.75" customHeight="1" x14ac:dyDescent="0.3">
      <c r="A122" s="64" t="s">
        <v>246</v>
      </c>
      <c r="B122" s="64"/>
      <c r="C122" s="64"/>
      <c r="D122" s="64"/>
      <c r="E122" s="64"/>
      <c r="F122" s="64"/>
      <c r="G122" s="64"/>
      <c r="H122" s="64"/>
      <c r="I122" s="64"/>
      <c r="J122" s="64"/>
    </row>
    <row r="123" spans="1:10" ht="15" customHeight="1" x14ac:dyDescent="0.3">
      <c r="A123" s="64"/>
      <c r="B123" s="64"/>
      <c r="C123" s="64"/>
      <c r="D123" s="64"/>
      <c r="E123" s="64"/>
      <c r="F123" s="64"/>
      <c r="G123" s="64"/>
      <c r="H123" s="64"/>
      <c r="I123" s="64"/>
      <c r="J123" s="64"/>
    </row>
    <row r="125" spans="1:10" ht="15" customHeight="1" x14ac:dyDescent="0.3">
      <c r="A125" s="61" t="s">
        <v>114</v>
      </c>
      <c r="B125" s="61"/>
      <c r="C125" s="61"/>
      <c r="D125" s="61"/>
      <c r="E125" s="61"/>
      <c r="F125" s="61"/>
      <c r="G125" s="61"/>
      <c r="H125" s="61"/>
      <c r="I125" s="61"/>
      <c r="J125" s="61"/>
    </row>
    <row r="126" spans="1:10" ht="15" customHeight="1" x14ac:dyDescent="0.3">
      <c r="A126" s="61"/>
      <c r="B126" s="61"/>
      <c r="C126" s="61"/>
      <c r="D126" s="61"/>
      <c r="E126" s="61"/>
      <c r="F126" s="61"/>
      <c r="G126" s="61"/>
      <c r="H126" s="61"/>
      <c r="I126" s="61"/>
      <c r="J126" s="61"/>
    </row>
    <row r="127" spans="1:10" ht="15" customHeight="1" x14ac:dyDescent="0.3">
      <c r="A127" s="61"/>
      <c r="B127" s="61"/>
      <c r="C127" s="61"/>
      <c r="D127" s="61"/>
      <c r="E127" s="61"/>
      <c r="F127" s="61"/>
      <c r="G127" s="61"/>
      <c r="H127" s="61"/>
      <c r="I127" s="61"/>
      <c r="J127" s="61"/>
    </row>
    <row r="128" spans="1:10" ht="15" customHeight="1" x14ac:dyDescent="0.3">
      <c r="A128" s="61"/>
      <c r="B128" s="61"/>
      <c r="C128" s="61"/>
      <c r="D128" s="61"/>
      <c r="E128" s="61"/>
      <c r="F128" s="61"/>
      <c r="G128" s="61"/>
      <c r="H128" s="61"/>
      <c r="I128" s="61"/>
      <c r="J128" s="61"/>
    </row>
    <row r="129" spans="1:9" ht="15" customHeight="1" x14ac:dyDescent="0.3">
      <c r="A129" s="6"/>
      <c r="B129" s="6"/>
      <c r="C129" s="6"/>
      <c r="D129" s="6"/>
      <c r="E129" s="6"/>
      <c r="F129" s="6"/>
      <c r="G129" s="6"/>
      <c r="H129" s="6"/>
      <c r="I129" s="6"/>
    </row>
    <row r="146" spans="1:10" ht="15.75" customHeight="1" x14ac:dyDescent="0.3">
      <c r="A146" s="64" t="s">
        <v>247</v>
      </c>
      <c r="B146" s="64"/>
      <c r="C146" s="64"/>
      <c r="D146" s="64"/>
      <c r="E146" s="64"/>
      <c r="F146" s="64"/>
      <c r="G146" s="64"/>
      <c r="H146" s="64"/>
      <c r="I146" s="64"/>
      <c r="J146" s="64"/>
    </row>
    <row r="147" spans="1:10" ht="15" customHeight="1" x14ac:dyDescent="0.3">
      <c r="A147" s="64"/>
      <c r="B147" s="64"/>
      <c r="C147" s="64"/>
      <c r="D147" s="64"/>
      <c r="E147" s="64"/>
      <c r="F147" s="64"/>
      <c r="G147" s="64"/>
      <c r="H147" s="64"/>
      <c r="I147" s="64"/>
      <c r="J147" s="64"/>
    </row>
    <row r="150" spans="1:10" ht="15.6" x14ac:dyDescent="0.3">
      <c r="A150" s="2" t="s">
        <v>55</v>
      </c>
    </row>
    <row r="151" spans="1:10" ht="15" customHeight="1" x14ac:dyDescent="0.3">
      <c r="A151" s="61" t="s">
        <v>176</v>
      </c>
      <c r="B151" s="61"/>
      <c r="C151" s="61"/>
      <c r="D151" s="61"/>
      <c r="E151" s="61"/>
      <c r="F151" s="61"/>
      <c r="G151" s="61"/>
      <c r="H151" s="61"/>
      <c r="I151" s="61"/>
      <c r="J151" s="61"/>
    </row>
    <row r="152" spans="1:10" ht="15" customHeight="1" x14ac:dyDescent="0.3">
      <c r="A152" s="61"/>
      <c r="B152" s="61"/>
      <c r="C152" s="61"/>
      <c r="D152" s="61"/>
      <c r="E152" s="61"/>
      <c r="F152" s="61"/>
      <c r="G152" s="61"/>
      <c r="H152" s="61"/>
      <c r="I152" s="61"/>
      <c r="J152" s="61"/>
    </row>
    <row r="168" spans="1:44" x14ac:dyDescent="0.3">
      <c r="A168" s="3" t="s">
        <v>0</v>
      </c>
      <c r="B168" s="3">
        <v>2010</v>
      </c>
      <c r="C168" s="3">
        <f>B168+1</f>
        <v>2011</v>
      </c>
      <c r="D168" s="3">
        <f t="shared" ref="D168:J168" si="4">C168+1</f>
        <v>2012</v>
      </c>
      <c r="E168" s="3">
        <f t="shared" si="4"/>
        <v>2013</v>
      </c>
      <c r="F168" s="3">
        <f t="shared" si="4"/>
        <v>2014</v>
      </c>
      <c r="G168" s="3">
        <f t="shared" si="4"/>
        <v>2015</v>
      </c>
      <c r="H168" s="3">
        <f t="shared" si="4"/>
        <v>2016</v>
      </c>
      <c r="I168" s="3">
        <f t="shared" si="4"/>
        <v>2017</v>
      </c>
      <c r="J168" s="3">
        <f t="shared" si="4"/>
        <v>2018</v>
      </c>
      <c r="AP168" s="1"/>
      <c r="AR168"/>
    </row>
    <row r="169" spans="1:44" x14ac:dyDescent="0.3">
      <c r="A169" s="8" t="s">
        <v>49</v>
      </c>
      <c r="B169" s="3">
        <f>Calculate!C71</f>
        <v>0</v>
      </c>
      <c r="C169" s="3">
        <f>Calculate!D71</f>
        <v>0</v>
      </c>
      <c r="D169" s="3">
        <f>Calculate!E71</f>
        <v>0</v>
      </c>
      <c r="E169" s="3">
        <f>Calculate!F71</f>
        <v>0</v>
      </c>
      <c r="F169" s="3">
        <f>Calculate!G71</f>
        <v>0</v>
      </c>
      <c r="G169" s="3">
        <f>Calculate!H71</f>
        <v>0</v>
      </c>
      <c r="H169" s="3">
        <f>Calculate!I71</f>
        <v>2</v>
      </c>
      <c r="I169" s="3">
        <f>Calculate!J71</f>
        <v>1</v>
      </c>
      <c r="J169" s="3">
        <f>Calculate!K71</f>
        <v>3</v>
      </c>
      <c r="AP169" s="1"/>
      <c r="AR169"/>
    </row>
    <row r="170" spans="1:44" x14ac:dyDescent="0.3">
      <c r="A170" s="1" t="s">
        <v>1</v>
      </c>
      <c r="B170" s="71" t="s">
        <v>76</v>
      </c>
      <c r="C170" s="71"/>
      <c r="D170" s="1">
        <f>SUM(Calculate!C71:R71)</f>
        <v>6</v>
      </c>
      <c r="E170" s="1" t="s">
        <v>44</v>
      </c>
      <c r="AP170" s="1"/>
      <c r="AR170"/>
    </row>
    <row r="171" spans="1:44" ht="15.75" customHeight="1" x14ac:dyDescent="0.3">
      <c r="A171" s="64" t="s">
        <v>139</v>
      </c>
      <c r="B171" s="64"/>
      <c r="C171" s="64"/>
      <c r="D171" s="64"/>
      <c r="E171" s="64"/>
      <c r="F171" s="64"/>
      <c r="G171" s="64"/>
      <c r="H171" s="64"/>
      <c r="I171" s="64"/>
      <c r="J171" s="64"/>
    </row>
    <row r="172" spans="1:44" ht="15.6" x14ac:dyDescent="0.3">
      <c r="A172" s="7"/>
      <c r="B172" s="7"/>
      <c r="C172" s="7"/>
      <c r="D172" s="7"/>
      <c r="E172" s="7"/>
      <c r="F172" s="7"/>
      <c r="G172" s="7"/>
      <c r="H172" s="7"/>
      <c r="I172" s="7"/>
    </row>
    <row r="173" spans="1:44" ht="15" customHeight="1" x14ac:dyDescent="0.3">
      <c r="A173" s="61" t="s">
        <v>185</v>
      </c>
      <c r="B173" s="61"/>
      <c r="C173" s="61"/>
      <c r="D173" s="61"/>
      <c r="E173" s="61"/>
      <c r="F173" s="61"/>
      <c r="G173" s="61"/>
      <c r="H173" s="61"/>
      <c r="I173" s="61"/>
      <c r="J173" s="61"/>
    </row>
    <row r="174" spans="1:44" ht="15" customHeight="1" x14ac:dyDescent="0.3">
      <c r="A174" s="61"/>
      <c r="B174" s="61"/>
      <c r="C174" s="61"/>
      <c r="D174" s="61"/>
      <c r="E174" s="61"/>
      <c r="F174" s="61"/>
      <c r="G174" s="61"/>
      <c r="H174" s="61"/>
      <c r="I174" s="61"/>
      <c r="J174" s="61"/>
    </row>
    <row r="175" spans="1:44" ht="15" customHeight="1" x14ac:dyDescent="0.3">
      <c r="A175" s="61"/>
      <c r="B175" s="61"/>
      <c r="C175" s="61"/>
      <c r="D175" s="61"/>
      <c r="E175" s="61"/>
      <c r="F175" s="61"/>
      <c r="G175" s="61"/>
      <c r="H175" s="61"/>
      <c r="I175" s="61"/>
      <c r="J175" s="61"/>
    </row>
    <row r="176" spans="1:44" ht="15" customHeight="1" x14ac:dyDescent="0.3">
      <c r="A176" s="61"/>
      <c r="B176" s="61"/>
      <c r="C176" s="61"/>
      <c r="D176" s="61"/>
      <c r="E176" s="61"/>
      <c r="F176" s="61"/>
      <c r="G176" s="61"/>
      <c r="H176" s="61"/>
      <c r="I176" s="61"/>
      <c r="J176" s="61"/>
    </row>
    <row r="194" spans="1:44" x14ac:dyDescent="0.3">
      <c r="A194" s="3" t="s">
        <v>0</v>
      </c>
      <c r="B194" s="3">
        <v>2010</v>
      </c>
      <c r="C194" s="3">
        <f>B194+1</f>
        <v>2011</v>
      </c>
      <c r="D194" s="3">
        <f t="shared" ref="D194:J194" si="5">C194+1</f>
        <v>2012</v>
      </c>
      <c r="E194" s="3">
        <f t="shared" si="5"/>
        <v>2013</v>
      </c>
      <c r="F194" s="3">
        <f t="shared" si="5"/>
        <v>2014</v>
      </c>
      <c r="G194" s="3">
        <f t="shared" si="5"/>
        <v>2015</v>
      </c>
      <c r="H194" s="3">
        <f t="shared" si="5"/>
        <v>2016</v>
      </c>
      <c r="I194" s="3">
        <f t="shared" si="5"/>
        <v>2017</v>
      </c>
      <c r="J194" s="3">
        <f t="shared" si="5"/>
        <v>2018</v>
      </c>
      <c r="AP194" s="1"/>
      <c r="AR194"/>
    </row>
    <row r="195" spans="1:44" s="4" customFormat="1" x14ac:dyDescent="0.3">
      <c r="A195" s="72" t="s">
        <v>6</v>
      </c>
      <c r="B195" s="67">
        <f>Calculate!C90</f>
        <v>0</v>
      </c>
      <c r="C195" s="67">
        <f>Calculate!D90</f>
        <v>0</v>
      </c>
      <c r="D195" s="67">
        <f>Calculate!E90</f>
        <v>0</v>
      </c>
      <c r="E195" s="67">
        <f>Calculate!F90</f>
        <v>0</v>
      </c>
      <c r="F195" s="67">
        <f>Calculate!G90</f>
        <v>0</v>
      </c>
      <c r="G195" s="67">
        <f>Calculate!H90</f>
        <v>0</v>
      </c>
      <c r="H195" s="67">
        <f>Calculate!I90</f>
        <v>1</v>
      </c>
      <c r="I195" s="67">
        <f>Calculate!J90</f>
        <v>0</v>
      </c>
      <c r="J195" s="67">
        <f>Calculate!K90</f>
        <v>0</v>
      </c>
      <c r="AQ195" s="5"/>
      <c r="AR195" s="5"/>
    </row>
    <row r="196" spans="1:44" x14ac:dyDescent="0.3">
      <c r="A196" s="72"/>
      <c r="B196" s="67"/>
      <c r="C196" s="67"/>
      <c r="D196" s="67"/>
      <c r="E196" s="67"/>
      <c r="F196" s="67"/>
      <c r="G196" s="67"/>
      <c r="H196" s="67"/>
      <c r="I196" s="67"/>
      <c r="J196" s="67"/>
      <c r="AP196" s="1"/>
      <c r="AR196"/>
    </row>
    <row r="197" spans="1:44" x14ac:dyDescent="0.3">
      <c r="A197" s="1" t="s">
        <v>7</v>
      </c>
      <c r="AP197" s="1"/>
      <c r="AR197"/>
    </row>
    <row r="198" spans="1:44" ht="15.75" customHeight="1" x14ac:dyDescent="0.3">
      <c r="A198" s="64" t="s">
        <v>140</v>
      </c>
      <c r="B198" s="64"/>
      <c r="C198" s="64"/>
      <c r="D198" s="64"/>
      <c r="E198" s="64"/>
      <c r="F198" s="64"/>
      <c r="G198" s="64"/>
      <c r="H198" s="64"/>
      <c r="I198" s="64"/>
      <c r="J198" s="64"/>
    </row>
    <row r="200" spans="1:44" ht="15.75" customHeight="1" x14ac:dyDescent="0.3">
      <c r="A200" s="85" t="s">
        <v>115</v>
      </c>
      <c r="B200" s="85"/>
      <c r="C200" s="85"/>
      <c r="D200" s="85"/>
      <c r="E200" s="85"/>
      <c r="F200" s="85"/>
      <c r="G200" s="85"/>
      <c r="H200" s="85"/>
      <c r="I200" s="85"/>
      <c r="J200" s="85"/>
    </row>
    <row r="201" spans="1:44" ht="15" customHeight="1" x14ac:dyDescent="0.3">
      <c r="A201" s="85"/>
      <c r="B201" s="85"/>
      <c r="C201" s="85"/>
      <c r="D201" s="85"/>
      <c r="E201" s="85"/>
      <c r="F201" s="85"/>
      <c r="G201" s="85"/>
      <c r="H201" s="85"/>
      <c r="I201" s="85"/>
      <c r="J201" s="85"/>
    </row>
    <row r="218" spans="1:10" ht="15.75" customHeight="1" x14ac:dyDescent="0.3">
      <c r="A218" s="64" t="s">
        <v>141</v>
      </c>
      <c r="B218" s="64"/>
      <c r="C218" s="64"/>
      <c r="D218" s="64"/>
      <c r="E218" s="64"/>
      <c r="F218" s="64"/>
      <c r="G218" s="64"/>
      <c r="H218" s="64"/>
      <c r="I218" s="64"/>
      <c r="J218" s="64"/>
    </row>
    <row r="219" spans="1:10" ht="15" customHeight="1" x14ac:dyDescent="0.3">
      <c r="A219" s="64"/>
      <c r="B219" s="64"/>
      <c r="C219" s="64"/>
      <c r="D219" s="64"/>
      <c r="E219" s="64"/>
      <c r="F219" s="64"/>
      <c r="G219" s="64"/>
      <c r="H219" s="64"/>
      <c r="I219" s="64"/>
      <c r="J219" s="64"/>
    </row>
  </sheetData>
  <mergeCells count="31">
    <mergeCell ref="A218:J219"/>
    <mergeCell ref="A195:A196"/>
    <mergeCell ref="B195:B196"/>
    <mergeCell ref="C195:C196"/>
    <mergeCell ref="D195:D196"/>
    <mergeCell ref="E195:E196"/>
    <mergeCell ref="F195:F196"/>
    <mergeCell ref="G195:G196"/>
    <mergeCell ref="H195:H196"/>
    <mergeCell ref="I195:I196"/>
    <mergeCell ref="A173:J176"/>
    <mergeCell ref="A198:J198"/>
    <mergeCell ref="J195:J196"/>
    <mergeCell ref="A200:J201"/>
    <mergeCell ref="A171:J171"/>
    <mergeCell ref="A1:J48"/>
    <mergeCell ref="A75:J76"/>
    <mergeCell ref="B170:C170"/>
    <mergeCell ref="A94:A95"/>
    <mergeCell ref="A96:A97"/>
    <mergeCell ref="A99:J99"/>
    <mergeCell ref="A100:J101"/>
    <mergeCell ref="A102:J104"/>
    <mergeCell ref="A122:J123"/>
    <mergeCell ref="A125:J128"/>
    <mergeCell ref="A146:J147"/>
    <mergeCell ref="A151:J152"/>
    <mergeCell ref="B71:C71"/>
    <mergeCell ref="F71:G71"/>
    <mergeCell ref="A51:J52"/>
    <mergeCell ref="A73:J7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O7"/>
  <sheetViews>
    <sheetView view="pageLayout" topLeftCell="A7" zoomScale="98" zoomScaleNormal="100" zoomScalePageLayoutView="98" workbookViewId="0">
      <selection activeCell="A4" sqref="A1:G1048576"/>
    </sheetView>
  </sheetViews>
  <sheetFormatPr defaultRowHeight="15.6" x14ac:dyDescent="0.3"/>
  <cols>
    <col min="1" max="1" width="3.88671875" style="32" customWidth="1"/>
    <col min="2" max="2" width="9.5546875" customWidth="1"/>
    <col min="3" max="3" width="13.33203125" customWidth="1"/>
    <col min="4" max="4" width="20.44140625" customWidth="1"/>
    <col min="5" max="5" width="9" customWidth="1"/>
    <col min="6" max="6" width="14.33203125" customWidth="1"/>
    <col min="7" max="7" width="16.6640625" customWidth="1"/>
  </cols>
  <sheetData>
    <row r="1" spans="1:41" s="1" customFormat="1" ht="15" customHeight="1" x14ac:dyDescent="0.3">
      <c r="A1" s="61" t="s">
        <v>221</v>
      </c>
      <c r="B1" s="61"/>
      <c r="C1" s="61"/>
      <c r="D1" s="61"/>
      <c r="E1" s="61"/>
      <c r="F1" s="61"/>
      <c r="G1" s="61"/>
      <c r="AN1"/>
      <c r="AO1"/>
    </row>
    <row r="2" spans="1:41" s="1" customFormat="1" ht="15" customHeight="1" x14ac:dyDescent="0.3">
      <c r="A2" s="61"/>
      <c r="B2" s="61"/>
      <c r="C2" s="61"/>
      <c r="D2" s="61"/>
      <c r="E2" s="61"/>
      <c r="F2" s="61"/>
      <c r="G2" s="61"/>
      <c r="AN2"/>
      <c r="AO2"/>
    </row>
    <row r="3" spans="1:41" s="1" customFormat="1" ht="15.75" customHeight="1" x14ac:dyDescent="0.3">
      <c r="A3" s="62" t="s">
        <v>152</v>
      </c>
      <c r="B3" s="62"/>
      <c r="C3" s="62"/>
      <c r="D3" s="62"/>
      <c r="E3" s="62"/>
      <c r="F3" s="62"/>
      <c r="G3" s="62"/>
      <c r="AN3"/>
      <c r="AO3"/>
    </row>
    <row r="4" spans="1:41" s="1" customFormat="1" ht="31.8" x14ac:dyDescent="0.3">
      <c r="A4" s="36" t="s">
        <v>84</v>
      </c>
      <c r="B4" s="34" t="s">
        <v>8</v>
      </c>
      <c r="C4" s="34" t="s">
        <v>11</v>
      </c>
      <c r="D4" s="34" t="s">
        <v>9</v>
      </c>
      <c r="E4" s="34" t="s">
        <v>85</v>
      </c>
      <c r="F4" s="34" t="s">
        <v>86</v>
      </c>
      <c r="G4" s="34" t="s">
        <v>10</v>
      </c>
      <c r="AN4"/>
      <c r="AO4"/>
    </row>
    <row r="5" spans="1:41" s="1" customFormat="1" ht="62.4" x14ac:dyDescent="0.3">
      <c r="A5" s="38">
        <v>1</v>
      </c>
      <c r="B5" s="39" t="s">
        <v>22</v>
      </c>
      <c r="C5" s="39" t="s">
        <v>23</v>
      </c>
      <c r="D5" s="39" t="s">
        <v>222</v>
      </c>
      <c r="E5" s="60"/>
      <c r="F5" s="60"/>
      <c r="G5" s="60"/>
      <c r="AN5"/>
      <c r="AO5"/>
    </row>
    <row r="6" spans="1:41" s="1" customFormat="1" ht="234" x14ac:dyDescent="0.3">
      <c r="A6" s="37">
        <v>2</v>
      </c>
      <c r="B6" s="35" t="s">
        <v>24</v>
      </c>
      <c r="C6" s="35" t="s">
        <v>25</v>
      </c>
      <c r="D6" s="35" t="s">
        <v>162</v>
      </c>
      <c r="E6" s="33" t="s">
        <v>163</v>
      </c>
      <c r="F6" s="33" t="s">
        <v>165</v>
      </c>
      <c r="G6" s="33"/>
      <c r="AN6"/>
      <c r="AO6"/>
    </row>
    <row r="7" spans="1:41" s="1" customFormat="1" ht="78" x14ac:dyDescent="0.3">
      <c r="A7" s="37">
        <v>3</v>
      </c>
      <c r="B7" s="35" t="s">
        <v>280</v>
      </c>
      <c r="C7" s="35" t="s">
        <v>281</v>
      </c>
      <c r="D7" s="35" t="s">
        <v>282</v>
      </c>
      <c r="E7" s="33" t="s">
        <v>283</v>
      </c>
      <c r="F7" s="33" t="s">
        <v>284</v>
      </c>
      <c r="G7" s="33"/>
      <c r="AN7"/>
      <c r="AO7"/>
    </row>
  </sheetData>
  <mergeCells count="2">
    <mergeCell ref="A1:G2"/>
    <mergeCell ref="A3:G3"/>
  </mergeCells>
  <pageMargins left="0.7" right="0.63541666666666663"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19"/>
  <sheetViews>
    <sheetView showGridLines="0" view="pageLayout" topLeftCell="A226" zoomScale="95" zoomScaleNormal="100" zoomScaleSheetLayoutView="100" zoomScalePageLayoutView="95" workbookViewId="0">
      <selection sqref="A1:J48"/>
    </sheetView>
  </sheetViews>
  <sheetFormatPr defaultColWidth="9.109375" defaultRowHeight="14.4" x14ac:dyDescent="0.3"/>
  <cols>
    <col min="1" max="1" width="13.109375" style="1" customWidth="1"/>
    <col min="2" max="10" width="7.44140625" style="1" customWidth="1"/>
    <col min="11" max="21" width="9.109375" style="1"/>
    <col min="22" max="22" width="11" style="1" customWidth="1"/>
    <col min="23" max="42" width="9.109375" style="1"/>
    <col min="45" max="261" width="9.109375" style="1"/>
    <col min="262" max="262" width="14.5546875" style="1" customWidth="1"/>
    <col min="263" max="263" width="15.5546875" style="1" customWidth="1"/>
    <col min="264" max="264" width="16.5546875" style="1" customWidth="1"/>
    <col min="265" max="265" width="11.33203125" style="1" customWidth="1"/>
    <col min="266" max="277" width="9.109375" style="1"/>
    <col min="278" max="278" width="11" style="1" customWidth="1"/>
    <col min="279" max="517" width="9.109375" style="1"/>
    <col min="518" max="518" width="14.5546875" style="1" customWidth="1"/>
    <col min="519" max="519" width="15.5546875" style="1" customWidth="1"/>
    <col min="520" max="520" width="16.5546875" style="1" customWidth="1"/>
    <col min="521" max="521" width="11.33203125" style="1" customWidth="1"/>
    <col min="522" max="533" width="9.109375" style="1"/>
    <col min="534" max="534" width="11" style="1" customWidth="1"/>
    <col min="535" max="773" width="9.109375" style="1"/>
    <col min="774" max="774" width="14.5546875" style="1" customWidth="1"/>
    <col min="775" max="775" width="15.5546875" style="1" customWidth="1"/>
    <col min="776" max="776" width="16.5546875" style="1" customWidth="1"/>
    <col min="777" max="777" width="11.33203125" style="1" customWidth="1"/>
    <col min="778" max="789" width="9.109375" style="1"/>
    <col min="790" max="790" width="11" style="1" customWidth="1"/>
    <col min="791" max="1029" width="9.109375" style="1"/>
    <col min="1030" max="1030" width="14.5546875" style="1" customWidth="1"/>
    <col min="1031" max="1031" width="15.5546875" style="1" customWidth="1"/>
    <col min="1032" max="1032" width="16.5546875" style="1" customWidth="1"/>
    <col min="1033" max="1033" width="11.33203125" style="1" customWidth="1"/>
    <col min="1034" max="1045" width="9.109375" style="1"/>
    <col min="1046" max="1046" width="11" style="1" customWidth="1"/>
    <col min="1047" max="1285" width="9.109375" style="1"/>
    <col min="1286" max="1286" width="14.5546875" style="1" customWidth="1"/>
    <col min="1287" max="1287" width="15.5546875" style="1" customWidth="1"/>
    <col min="1288" max="1288" width="16.5546875" style="1" customWidth="1"/>
    <col min="1289" max="1289" width="11.33203125" style="1" customWidth="1"/>
    <col min="1290" max="1301" width="9.109375" style="1"/>
    <col min="1302" max="1302" width="11" style="1" customWidth="1"/>
    <col min="1303" max="1541" width="9.109375" style="1"/>
    <col min="1542" max="1542" width="14.5546875" style="1" customWidth="1"/>
    <col min="1543" max="1543" width="15.5546875" style="1" customWidth="1"/>
    <col min="1544" max="1544" width="16.5546875" style="1" customWidth="1"/>
    <col min="1545" max="1545" width="11.33203125" style="1" customWidth="1"/>
    <col min="1546" max="1557" width="9.109375" style="1"/>
    <col min="1558" max="1558" width="11" style="1" customWidth="1"/>
    <col min="1559" max="1797" width="9.109375" style="1"/>
    <col min="1798" max="1798" width="14.5546875" style="1" customWidth="1"/>
    <col min="1799" max="1799" width="15.5546875" style="1" customWidth="1"/>
    <col min="1800" max="1800" width="16.5546875" style="1" customWidth="1"/>
    <col min="1801" max="1801" width="11.33203125" style="1" customWidth="1"/>
    <col min="1802" max="1813" width="9.109375" style="1"/>
    <col min="1814" max="1814" width="11" style="1" customWidth="1"/>
    <col min="1815" max="2053" width="9.109375" style="1"/>
    <col min="2054" max="2054" width="14.5546875" style="1" customWidth="1"/>
    <col min="2055" max="2055" width="15.5546875" style="1" customWidth="1"/>
    <col min="2056" max="2056" width="16.5546875" style="1" customWidth="1"/>
    <col min="2057" max="2057" width="11.33203125" style="1" customWidth="1"/>
    <col min="2058" max="2069" width="9.109375" style="1"/>
    <col min="2070" max="2070" width="11" style="1" customWidth="1"/>
    <col min="2071" max="2309" width="9.109375" style="1"/>
    <col min="2310" max="2310" width="14.5546875" style="1" customWidth="1"/>
    <col min="2311" max="2311" width="15.5546875" style="1" customWidth="1"/>
    <col min="2312" max="2312" width="16.5546875" style="1" customWidth="1"/>
    <col min="2313" max="2313" width="11.33203125" style="1" customWidth="1"/>
    <col min="2314" max="2325" width="9.109375" style="1"/>
    <col min="2326" max="2326" width="11" style="1" customWidth="1"/>
    <col min="2327" max="2565" width="9.109375" style="1"/>
    <col min="2566" max="2566" width="14.5546875" style="1" customWidth="1"/>
    <col min="2567" max="2567" width="15.5546875" style="1" customWidth="1"/>
    <col min="2568" max="2568" width="16.5546875" style="1" customWidth="1"/>
    <col min="2569" max="2569" width="11.33203125" style="1" customWidth="1"/>
    <col min="2570" max="2581" width="9.109375" style="1"/>
    <col min="2582" max="2582" width="11" style="1" customWidth="1"/>
    <col min="2583" max="2821" width="9.109375" style="1"/>
    <col min="2822" max="2822" width="14.5546875" style="1" customWidth="1"/>
    <col min="2823" max="2823" width="15.5546875" style="1" customWidth="1"/>
    <col min="2824" max="2824" width="16.5546875" style="1" customWidth="1"/>
    <col min="2825" max="2825" width="11.33203125" style="1" customWidth="1"/>
    <col min="2826" max="2837" width="9.109375" style="1"/>
    <col min="2838" max="2838" width="11" style="1" customWidth="1"/>
    <col min="2839" max="3077" width="9.109375" style="1"/>
    <col min="3078" max="3078" width="14.5546875" style="1" customWidth="1"/>
    <col min="3079" max="3079" width="15.5546875" style="1" customWidth="1"/>
    <col min="3080" max="3080" width="16.5546875" style="1" customWidth="1"/>
    <col min="3081" max="3081" width="11.33203125" style="1" customWidth="1"/>
    <col min="3082" max="3093" width="9.109375" style="1"/>
    <col min="3094" max="3094" width="11" style="1" customWidth="1"/>
    <col min="3095" max="3333" width="9.109375" style="1"/>
    <col min="3334" max="3334" width="14.5546875" style="1" customWidth="1"/>
    <col min="3335" max="3335" width="15.5546875" style="1" customWidth="1"/>
    <col min="3336" max="3336" width="16.5546875" style="1" customWidth="1"/>
    <col min="3337" max="3337" width="11.33203125" style="1" customWidth="1"/>
    <col min="3338" max="3349" width="9.109375" style="1"/>
    <col min="3350" max="3350" width="11" style="1" customWidth="1"/>
    <col min="3351" max="3589" width="9.109375" style="1"/>
    <col min="3590" max="3590" width="14.5546875" style="1" customWidth="1"/>
    <col min="3591" max="3591" width="15.5546875" style="1" customWidth="1"/>
    <col min="3592" max="3592" width="16.5546875" style="1" customWidth="1"/>
    <col min="3593" max="3593" width="11.33203125" style="1" customWidth="1"/>
    <col min="3594" max="3605" width="9.109375" style="1"/>
    <col min="3606" max="3606" width="11" style="1" customWidth="1"/>
    <col min="3607" max="3845" width="9.109375" style="1"/>
    <col min="3846" max="3846" width="14.5546875" style="1" customWidth="1"/>
    <col min="3847" max="3847" width="15.5546875" style="1" customWidth="1"/>
    <col min="3848" max="3848" width="16.5546875" style="1" customWidth="1"/>
    <col min="3849" max="3849" width="11.33203125" style="1" customWidth="1"/>
    <col min="3850" max="3861" width="9.109375" style="1"/>
    <col min="3862" max="3862" width="11" style="1" customWidth="1"/>
    <col min="3863" max="4101" width="9.109375" style="1"/>
    <col min="4102" max="4102" width="14.5546875" style="1" customWidth="1"/>
    <col min="4103" max="4103" width="15.5546875" style="1" customWidth="1"/>
    <col min="4104" max="4104" width="16.5546875" style="1" customWidth="1"/>
    <col min="4105" max="4105" width="11.33203125" style="1" customWidth="1"/>
    <col min="4106" max="4117" width="9.109375" style="1"/>
    <col min="4118" max="4118" width="11" style="1" customWidth="1"/>
    <col min="4119" max="4357" width="9.109375" style="1"/>
    <col min="4358" max="4358" width="14.5546875" style="1" customWidth="1"/>
    <col min="4359" max="4359" width="15.5546875" style="1" customWidth="1"/>
    <col min="4360" max="4360" width="16.5546875" style="1" customWidth="1"/>
    <col min="4361" max="4361" width="11.33203125" style="1" customWidth="1"/>
    <col min="4362" max="4373" width="9.109375" style="1"/>
    <col min="4374" max="4374" width="11" style="1" customWidth="1"/>
    <col min="4375" max="4613" width="9.109375" style="1"/>
    <col min="4614" max="4614" width="14.5546875" style="1" customWidth="1"/>
    <col min="4615" max="4615" width="15.5546875" style="1" customWidth="1"/>
    <col min="4616" max="4616" width="16.5546875" style="1" customWidth="1"/>
    <col min="4617" max="4617" width="11.33203125" style="1" customWidth="1"/>
    <col min="4618" max="4629" width="9.109375" style="1"/>
    <col min="4630" max="4630" width="11" style="1" customWidth="1"/>
    <col min="4631" max="4869" width="9.109375" style="1"/>
    <col min="4870" max="4870" width="14.5546875" style="1" customWidth="1"/>
    <col min="4871" max="4871" width="15.5546875" style="1" customWidth="1"/>
    <col min="4872" max="4872" width="16.5546875" style="1" customWidth="1"/>
    <col min="4873" max="4873" width="11.33203125" style="1" customWidth="1"/>
    <col min="4874" max="4885" width="9.109375" style="1"/>
    <col min="4886" max="4886" width="11" style="1" customWidth="1"/>
    <col min="4887" max="5125" width="9.109375" style="1"/>
    <col min="5126" max="5126" width="14.5546875" style="1" customWidth="1"/>
    <col min="5127" max="5127" width="15.5546875" style="1" customWidth="1"/>
    <col min="5128" max="5128" width="16.5546875" style="1" customWidth="1"/>
    <col min="5129" max="5129" width="11.33203125" style="1" customWidth="1"/>
    <col min="5130" max="5141" width="9.109375" style="1"/>
    <col min="5142" max="5142" width="11" style="1" customWidth="1"/>
    <col min="5143" max="5381" width="9.109375" style="1"/>
    <col min="5382" max="5382" width="14.5546875" style="1" customWidth="1"/>
    <col min="5383" max="5383" width="15.5546875" style="1" customWidth="1"/>
    <col min="5384" max="5384" width="16.5546875" style="1" customWidth="1"/>
    <col min="5385" max="5385" width="11.33203125" style="1" customWidth="1"/>
    <col min="5386" max="5397" width="9.109375" style="1"/>
    <col min="5398" max="5398" width="11" style="1" customWidth="1"/>
    <col min="5399" max="5637" width="9.109375" style="1"/>
    <col min="5638" max="5638" width="14.5546875" style="1" customWidth="1"/>
    <col min="5639" max="5639" width="15.5546875" style="1" customWidth="1"/>
    <col min="5640" max="5640" width="16.5546875" style="1" customWidth="1"/>
    <col min="5641" max="5641" width="11.33203125" style="1" customWidth="1"/>
    <col min="5642" max="5653" width="9.109375" style="1"/>
    <col min="5654" max="5654" width="11" style="1" customWidth="1"/>
    <col min="5655" max="5893" width="9.109375" style="1"/>
    <col min="5894" max="5894" width="14.5546875" style="1" customWidth="1"/>
    <col min="5895" max="5895" width="15.5546875" style="1" customWidth="1"/>
    <col min="5896" max="5896" width="16.5546875" style="1" customWidth="1"/>
    <col min="5897" max="5897" width="11.33203125" style="1" customWidth="1"/>
    <col min="5898" max="5909" width="9.109375" style="1"/>
    <col min="5910" max="5910" width="11" style="1" customWidth="1"/>
    <col min="5911" max="6149" width="9.109375" style="1"/>
    <col min="6150" max="6150" width="14.5546875" style="1" customWidth="1"/>
    <col min="6151" max="6151" width="15.5546875" style="1" customWidth="1"/>
    <col min="6152" max="6152" width="16.5546875" style="1" customWidth="1"/>
    <col min="6153" max="6153" width="11.33203125" style="1" customWidth="1"/>
    <col min="6154" max="6165" width="9.109375" style="1"/>
    <col min="6166" max="6166" width="11" style="1" customWidth="1"/>
    <col min="6167" max="6405" width="9.109375" style="1"/>
    <col min="6406" max="6406" width="14.5546875" style="1" customWidth="1"/>
    <col min="6407" max="6407" width="15.5546875" style="1" customWidth="1"/>
    <col min="6408" max="6408" width="16.5546875" style="1" customWidth="1"/>
    <col min="6409" max="6409" width="11.33203125" style="1" customWidth="1"/>
    <col min="6410" max="6421" width="9.109375" style="1"/>
    <col min="6422" max="6422" width="11" style="1" customWidth="1"/>
    <col min="6423" max="6661" width="9.109375" style="1"/>
    <col min="6662" max="6662" width="14.5546875" style="1" customWidth="1"/>
    <col min="6663" max="6663" width="15.5546875" style="1" customWidth="1"/>
    <col min="6664" max="6664" width="16.5546875" style="1" customWidth="1"/>
    <col min="6665" max="6665" width="11.33203125" style="1" customWidth="1"/>
    <col min="6666" max="6677" width="9.109375" style="1"/>
    <col min="6678" max="6678" width="11" style="1" customWidth="1"/>
    <col min="6679" max="6917" width="9.109375" style="1"/>
    <col min="6918" max="6918" width="14.5546875" style="1" customWidth="1"/>
    <col min="6919" max="6919" width="15.5546875" style="1" customWidth="1"/>
    <col min="6920" max="6920" width="16.5546875" style="1" customWidth="1"/>
    <col min="6921" max="6921" width="11.33203125" style="1" customWidth="1"/>
    <col min="6922" max="6933" width="9.109375" style="1"/>
    <col min="6934" max="6934" width="11" style="1" customWidth="1"/>
    <col min="6935" max="7173" width="9.109375" style="1"/>
    <col min="7174" max="7174" width="14.5546875" style="1" customWidth="1"/>
    <col min="7175" max="7175" width="15.5546875" style="1" customWidth="1"/>
    <col min="7176" max="7176" width="16.5546875" style="1" customWidth="1"/>
    <col min="7177" max="7177" width="11.33203125" style="1" customWidth="1"/>
    <col min="7178" max="7189" width="9.109375" style="1"/>
    <col min="7190" max="7190" width="11" style="1" customWidth="1"/>
    <col min="7191" max="7429" width="9.109375" style="1"/>
    <col min="7430" max="7430" width="14.5546875" style="1" customWidth="1"/>
    <col min="7431" max="7431" width="15.5546875" style="1" customWidth="1"/>
    <col min="7432" max="7432" width="16.5546875" style="1" customWidth="1"/>
    <col min="7433" max="7433" width="11.33203125" style="1" customWidth="1"/>
    <col min="7434" max="7445" width="9.109375" style="1"/>
    <col min="7446" max="7446" width="11" style="1" customWidth="1"/>
    <col min="7447" max="7685" width="9.109375" style="1"/>
    <col min="7686" max="7686" width="14.5546875" style="1" customWidth="1"/>
    <col min="7687" max="7687" width="15.5546875" style="1" customWidth="1"/>
    <col min="7688" max="7688" width="16.5546875" style="1" customWidth="1"/>
    <col min="7689" max="7689" width="11.33203125" style="1" customWidth="1"/>
    <col min="7690" max="7701" width="9.109375" style="1"/>
    <col min="7702" max="7702" width="11" style="1" customWidth="1"/>
    <col min="7703" max="7941" width="9.109375" style="1"/>
    <col min="7942" max="7942" width="14.5546875" style="1" customWidth="1"/>
    <col min="7943" max="7943" width="15.5546875" style="1" customWidth="1"/>
    <col min="7944" max="7944" width="16.5546875" style="1" customWidth="1"/>
    <col min="7945" max="7945" width="11.33203125" style="1" customWidth="1"/>
    <col min="7946" max="7957" width="9.109375" style="1"/>
    <col min="7958" max="7958" width="11" style="1" customWidth="1"/>
    <col min="7959" max="8197" width="9.109375" style="1"/>
    <col min="8198" max="8198" width="14.5546875" style="1" customWidth="1"/>
    <col min="8199" max="8199" width="15.5546875" style="1" customWidth="1"/>
    <col min="8200" max="8200" width="16.5546875" style="1" customWidth="1"/>
    <col min="8201" max="8201" width="11.33203125" style="1" customWidth="1"/>
    <col min="8202" max="8213" width="9.109375" style="1"/>
    <col min="8214" max="8214" width="11" style="1" customWidth="1"/>
    <col min="8215" max="8453" width="9.109375" style="1"/>
    <col min="8454" max="8454" width="14.5546875" style="1" customWidth="1"/>
    <col min="8455" max="8455" width="15.5546875" style="1" customWidth="1"/>
    <col min="8456" max="8456" width="16.5546875" style="1" customWidth="1"/>
    <col min="8457" max="8457" width="11.33203125" style="1" customWidth="1"/>
    <col min="8458" max="8469" width="9.109375" style="1"/>
    <col min="8470" max="8470" width="11" style="1" customWidth="1"/>
    <col min="8471" max="8709" width="9.109375" style="1"/>
    <col min="8710" max="8710" width="14.5546875" style="1" customWidth="1"/>
    <col min="8711" max="8711" width="15.5546875" style="1" customWidth="1"/>
    <col min="8712" max="8712" width="16.5546875" style="1" customWidth="1"/>
    <col min="8713" max="8713" width="11.33203125" style="1" customWidth="1"/>
    <col min="8714" max="8725" width="9.109375" style="1"/>
    <col min="8726" max="8726" width="11" style="1" customWidth="1"/>
    <col min="8727" max="8965" width="9.109375" style="1"/>
    <col min="8966" max="8966" width="14.5546875" style="1" customWidth="1"/>
    <col min="8967" max="8967" width="15.5546875" style="1" customWidth="1"/>
    <col min="8968" max="8968" width="16.5546875" style="1" customWidth="1"/>
    <col min="8969" max="8969" width="11.33203125" style="1" customWidth="1"/>
    <col min="8970" max="8981" width="9.109375" style="1"/>
    <col min="8982" max="8982" width="11" style="1" customWidth="1"/>
    <col min="8983" max="9221" width="9.109375" style="1"/>
    <col min="9222" max="9222" width="14.5546875" style="1" customWidth="1"/>
    <col min="9223" max="9223" width="15.5546875" style="1" customWidth="1"/>
    <col min="9224" max="9224" width="16.5546875" style="1" customWidth="1"/>
    <col min="9225" max="9225" width="11.33203125" style="1" customWidth="1"/>
    <col min="9226" max="9237" width="9.109375" style="1"/>
    <col min="9238" max="9238" width="11" style="1" customWidth="1"/>
    <col min="9239" max="9477" width="9.109375" style="1"/>
    <col min="9478" max="9478" width="14.5546875" style="1" customWidth="1"/>
    <col min="9479" max="9479" width="15.5546875" style="1" customWidth="1"/>
    <col min="9480" max="9480" width="16.5546875" style="1" customWidth="1"/>
    <col min="9481" max="9481" width="11.33203125" style="1" customWidth="1"/>
    <col min="9482" max="9493" width="9.109375" style="1"/>
    <col min="9494" max="9494" width="11" style="1" customWidth="1"/>
    <col min="9495" max="9733" width="9.109375" style="1"/>
    <col min="9734" max="9734" width="14.5546875" style="1" customWidth="1"/>
    <col min="9735" max="9735" width="15.5546875" style="1" customWidth="1"/>
    <col min="9736" max="9736" width="16.5546875" style="1" customWidth="1"/>
    <col min="9737" max="9737" width="11.33203125" style="1" customWidth="1"/>
    <col min="9738" max="9749" width="9.109375" style="1"/>
    <col min="9750" max="9750" width="11" style="1" customWidth="1"/>
    <col min="9751" max="9989" width="9.109375" style="1"/>
    <col min="9990" max="9990" width="14.5546875" style="1" customWidth="1"/>
    <col min="9991" max="9991" width="15.5546875" style="1" customWidth="1"/>
    <col min="9992" max="9992" width="16.5546875" style="1" customWidth="1"/>
    <col min="9993" max="9993" width="11.33203125" style="1" customWidth="1"/>
    <col min="9994" max="10005" width="9.109375" style="1"/>
    <col min="10006" max="10006" width="11" style="1" customWidth="1"/>
    <col min="10007" max="10245" width="9.109375" style="1"/>
    <col min="10246" max="10246" width="14.5546875" style="1" customWidth="1"/>
    <col min="10247" max="10247" width="15.5546875" style="1" customWidth="1"/>
    <col min="10248" max="10248" width="16.5546875" style="1" customWidth="1"/>
    <col min="10249" max="10249" width="11.33203125" style="1" customWidth="1"/>
    <col min="10250" max="10261" width="9.109375" style="1"/>
    <col min="10262" max="10262" width="11" style="1" customWidth="1"/>
    <col min="10263" max="10501" width="9.109375" style="1"/>
    <col min="10502" max="10502" width="14.5546875" style="1" customWidth="1"/>
    <col min="10503" max="10503" width="15.5546875" style="1" customWidth="1"/>
    <col min="10504" max="10504" width="16.5546875" style="1" customWidth="1"/>
    <col min="10505" max="10505" width="11.33203125" style="1" customWidth="1"/>
    <col min="10506" max="10517" width="9.109375" style="1"/>
    <col min="10518" max="10518" width="11" style="1" customWidth="1"/>
    <col min="10519" max="10757" width="9.109375" style="1"/>
    <col min="10758" max="10758" width="14.5546875" style="1" customWidth="1"/>
    <col min="10759" max="10759" width="15.5546875" style="1" customWidth="1"/>
    <col min="10760" max="10760" width="16.5546875" style="1" customWidth="1"/>
    <col min="10761" max="10761" width="11.33203125" style="1" customWidth="1"/>
    <col min="10762" max="10773" width="9.109375" style="1"/>
    <col min="10774" max="10774" width="11" style="1" customWidth="1"/>
    <col min="10775" max="11013" width="9.109375" style="1"/>
    <col min="11014" max="11014" width="14.5546875" style="1" customWidth="1"/>
    <col min="11015" max="11015" width="15.5546875" style="1" customWidth="1"/>
    <col min="11016" max="11016" width="16.5546875" style="1" customWidth="1"/>
    <col min="11017" max="11017" width="11.33203125" style="1" customWidth="1"/>
    <col min="11018" max="11029" width="9.109375" style="1"/>
    <col min="11030" max="11030" width="11" style="1" customWidth="1"/>
    <col min="11031" max="11269" width="9.109375" style="1"/>
    <col min="11270" max="11270" width="14.5546875" style="1" customWidth="1"/>
    <col min="11271" max="11271" width="15.5546875" style="1" customWidth="1"/>
    <col min="11272" max="11272" width="16.5546875" style="1" customWidth="1"/>
    <col min="11273" max="11273" width="11.33203125" style="1" customWidth="1"/>
    <col min="11274" max="11285" width="9.109375" style="1"/>
    <col min="11286" max="11286" width="11" style="1" customWidth="1"/>
    <col min="11287" max="11525" width="9.109375" style="1"/>
    <col min="11526" max="11526" width="14.5546875" style="1" customWidth="1"/>
    <col min="11527" max="11527" width="15.5546875" style="1" customWidth="1"/>
    <col min="11528" max="11528" width="16.5546875" style="1" customWidth="1"/>
    <col min="11529" max="11529" width="11.33203125" style="1" customWidth="1"/>
    <col min="11530" max="11541" width="9.109375" style="1"/>
    <col min="11542" max="11542" width="11" style="1" customWidth="1"/>
    <col min="11543" max="11781" width="9.109375" style="1"/>
    <col min="11782" max="11782" width="14.5546875" style="1" customWidth="1"/>
    <col min="11783" max="11783" width="15.5546875" style="1" customWidth="1"/>
    <col min="11784" max="11784" width="16.5546875" style="1" customWidth="1"/>
    <col min="11785" max="11785" width="11.33203125" style="1" customWidth="1"/>
    <col min="11786" max="11797" width="9.109375" style="1"/>
    <col min="11798" max="11798" width="11" style="1" customWidth="1"/>
    <col min="11799" max="12037" width="9.109375" style="1"/>
    <col min="12038" max="12038" width="14.5546875" style="1" customWidth="1"/>
    <col min="12039" max="12039" width="15.5546875" style="1" customWidth="1"/>
    <col min="12040" max="12040" width="16.5546875" style="1" customWidth="1"/>
    <col min="12041" max="12041" width="11.33203125" style="1" customWidth="1"/>
    <col min="12042" max="12053" width="9.109375" style="1"/>
    <col min="12054" max="12054" width="11" style="1" customWidth="1"/>
    <col min="12055" max="12293" width="9.109375" style="1"/>
    <col min="12294" max="12294" width="14.5546875" style="1" customWidth="1"/>
    <col min="12295" max="12295" width="15.5546875" style="1" customWidth="1"/>
    <col min="12296" max="12296" width="16.5546875" style="1" customWidth="1"/>
    <col min="12297" max="12297" width="11.33203125" style="1" customWidth="1"/>
    <col min="12298" max="12309" width="9.109375" style="1"/>
    <col min="12310" max="12310" width="11" style="1" customWidth="1"/>
    <col min="12311" max="12549" width="9.109375" style="1"/>
    <col min="12550" max="12550" width="14.5546875" style="1" customWidth="1"/>
    <col min="12551" max="12551" width="15.5546875" style="1" customWidth="1"/>
    <col min="12552" max="12552" width="16.5546875" style="1" customWidth="1"/>
    <col min="12553" max="12553" width="11.33203125" style="1" customWidth="1"/>
    <col min="12554" max="12565" width="9.109375" style="1"/>
    <col min="12566" max="12566" width="11" style="1" customWidth="1"/>
    <col min="12567" max="12805" width="9.109375" style="1"/>
    <col min="12806" max="12806" width="14.5546875" style="1" customWidth="1"/>
    <col min="12807" max="12807" width="15.5546875" style="1" customWidth="1"/>
    <col min="12808" max="12808" width="16.5546875" style="1" customWidth="1"/>
    <col min="12809" max="12809" width="11.33203125" style="1" customWidth="1"/>
    <col min="12810" max="12821" width="9.109375" style="1"/>
    <col min="12822" max="12822" width="11" style="1" customWidth="1"/>
    <col min="12823" max="13061" width="9.109375" style="1"/>
    <col min="13062" max="13062" width="14.5546875" style="1" customWidth="1"/>
    <col min="13063" max="13063" width="15.5546875" style="1" customWidth="1"/>
    <col min="13064" max="13064" width="16.5546875" style="1" customWidth="1"/>
    <col min="13065" max="13065" width="11.33203125" style="1" customWidth="1"/>
    <col min="13066" max="13077" width="9.109375" style="1"/>
    <col min="13078" max="13078" width="11" style="1" customWidth="1"/>
    <col min="13079" max="13317" width="9.109375" style="1"/>
    <col min="13318" max="13318" width="14.5546875" style="1" customWidth="1"/>
    <col min="13319" max="13319" width="15.5546875" style="1" customWidth="1"/>
    <col min="13320" max="13320" width="16.5546875" style="1" customWidth="1"/>
    <col min="13321" max="13321" width="11.33203125" style="1" customWidth="1"/>
    <col min="13322" max="13333" width="9.109375" style="1"/>
    <col min="13334" max="13334" width="11" style="1" customWidth="1"/>
    <col min="13335" max="13573" width="9.109375" style="1"/>
    <col min="13574" max="13574" width="14.5546875" style="1" customWidth="1"/>
    <col min="13575" max="13575" width="15.5546875" style="1" customWidth="1"/>
    <col min="13576" max="13576" width="16.5546875" style="1" customWidth="1"/>
    <col min="13577" max="13577" width="11.33203125" style="1" customWidth="1"/>
    <col min="13578" max="13589" width="9.109375" style="1"/>
    <col min="13590" max="13590" width="11" style="1" customWidth="1"/>
    <col min="13591" max="13829" width="9.109375" style="1"/>
    <col min="13830" max="13830" width="14.5546875" style="1" customWidth="1"/>
    <col min="13831" max="13831" width="15.5546875" style="1" customWidth="1"/>
    <col min="13832" max="13832" width="16.5546875" style="1" customWidth="1"/>
    <col min="13833" max="13833" width="11.33203125" style="1" customWidth="1"/>
    <col min="13834" max="13845" width="9.109375" style="1"/>
    <col min="13846" max="13846" width="11" style="1" customWidth="1"/>
    <col min="13847" max="14085" width="9.109375" style="1"/>
    <col min="14086" max="14086" width="14.5546875" style="1" customWidth="1"/>
    <col min="14087" max="14087" width="15.5546875" style="1" customWidth="1"/>
    <col min="14088" max="14088" width="16.5546875" style="1" customWidth="1"/>
    <col min="14089" max="14089" width="11.33203125" style="1" customWidth="1"/>
    <col min="14090" max="14101" width="9.109375" style="1"/>
    <col min="14102" max="14102" width="11" style="1" customWidth="1"/>
    <col min="14103" max="14341" width="9.109375" style="1"/>
    <col min="14342" max="14342" width="14.5546875" style="1" customWidth="1"/>
    <col min="14343" max="14343" width="15.5546875" style="1" customWidth="1"/>
    <col min="14344" max="14344" width="16.5546875" style="1" customWidth="1"/>
    <col min="14345" max="14345" width="11.33203125" style="1" customWidth="1"/>
    <col min="14346" max="14357" width="9.109375" style="1"/>
    <col min="14358" max="14358" width="11" style="1" customWidth="1"/>
    <col min="14359" max="14597" width="9.109375" style="1"/>
    <col min="14598" max="14598" width="14.5546875" style="1" customWidth="1"/>
    <col min="14599" max="14599" width="15.5546875" style="1" customWidth="1"/>
    <col min="14600" max="14600" width="16.5546875" style="1" customWidth="1"/>
    <col min="14601" max="14601" width="11.33203125" style="1" customWidth="1"/>
    <col min="14602" max="14613" width="9.109375" style="1"/>
    <col min="14614" max="14614" width="11" style="1" customWidth="1"/>
    <col min="14615" max="14853" width="9.109375" style="1"/>
    <col min="14854" max="14854" width="14.5546875" style="1" customWidth="1"/>
    <col min="14855" max="14855" width="15.5546875" style="1" customWidth="1"/>
    <col min="14856" max="14856" width="16.5546875" style="1" customWidth="1"/>
    <col min="14857" max="14857" width="11.33203125" style="1" customWidth="1"/>
    <col min="14858" max="14869" width="9.109375" style="1"/>
    <col min="14870" max="14870" width="11" style="1" customWidth="1"/>
    <col min="14871" max="15109" width="9.109375" style="1"/>
    <col min="15110" max="15110" width="14.5546875" style="1" customWidth="1"/>
    <col min="15111" max="15111" width="15.5546875" style="1" customWidth="1"/>
    <col min="15112" max="15112" width="16.5546875" style="1" customWidth="1"/>
    <col min="15113" max="15113" width="11.33203125" style="1" customWidth="1"/>
    <col min="15114" max="15125" width="9.109375" style="1"/>
    <col min="15126" max="15126" width="11" style="1" customWidth="1"/>
    <col min="15127" max="15365" width="9.109375" style="1"/>
    <col min="15366" max="15366" width="14.5546875" style="1" customWidth="1"/>
    <col min="15367" max="15367" width="15.5546875" style="1" customWidth="1"/>
    <col min="15368" max="15368" width="16.5546875" style="1" customWidth="1"/>
    <col min="15369" max="15369" width="11.33203125" style="1" customWidth="1"/>
    <col min="15370" max="15381" width="9.109375" style="1"/>
    <col min="15382" max="15382" width="11" style="1" customWidth="1"/>
    <col min="15383" max="15621" width="9.109375" style="1"/>
    <col min="15622" max="15622" width="14.5546875" style="1" customWidth="1"/>
    <col min="15623" max="15623" width="15.5546875" style="1" customWidth="1"/>
    <col min="15624" max="15624" width="16.5546875" style="1" customWidth="1"/>
    <col min="15625" max="15625" width="11.33203125" style="1" customWidth="1"/>
    <col min="15626" max="15637" width="9.109375" style="1"/>
    <col min="15638" max="15638" width="11" style="1" customWidth="1"/>
    <col min="15639" max="15877" width="9.109375" style="1"/>
    <col min="15878" max="15878" width="14.5546875" style="1" customWidth="1"/>
    <col min="15879" max="15879" width="15.5546875" style="1" customWidth="1"/>
    <col min="15880" max="15880" width="16.5546875" style="1" customWidth="1"/>
    <col min="15881" max="15881" width="11.33203125" style="1" customWidth="1"/>
    <col min="15882" max="15893" width="9.109375" style="1"/>
    <col min="15894" max="15894" width="11" style="1" customWidth="1"/>
    <col min="15895" max="16133" width="9.109375" style="1"/>
    <col min="16134" max="16134" width="14.5546875" style="1" customWidth="1"/>
    <col min="16135" max="16135" width="15.5546875" style="1" customWidth="1"/>
    <col min="16136" max="16136" width="16.5546875" style="1" customWidth="1"/>
    <col min="16137" max="16137" width="11.33203125" style="1" customWidth="1"/>
    <col min="16138" max="16149" width="9.109375" style="1"/>
    <col min="16150" max="16150" width="11" style="1" customWidth="1"/>
    <col min="16151" max="16384" width="9.109375" style="1"/>
  </cols>
  <sheetData>
    <row r="1" spans="1:44" ht="15" customHeight="1" x14ac:dyDescent="0.3">
      <c r="A1" s="63" t="s">
        <v>19</v>
      </c>
      <c r="B1" s="63"/>
      <c r="C1" s="63"/>
      <c r="D1" s="63"/>
      <c r="E1" s="63"/>
      <c r="F1" s="63"/>
      <c r="G1" s="63"/>
      <c r="H1" s="63"/>
      <c r="I1" s="63"/>
      <c r="J1" s="63"/>
    </row>
    <row r="2" spans="1:44" ht="15" customHeight="1" x14ac:dyDescent="0.3">
      <c r="A2" s="63"/>
      <c r="B2" s="63"/>
      <c r="C2" s="63"/>
      <c r="D2" s="63"/>
      <c r="E2" s="63"/>
      <c r="F2" s="63"/>
      <c r="G2" s="63"/>
      <c r="H2" s="63"/>
      <c r="I2" s="63"/>
      <c r="J2" s="63"/>
    </row>
    <row r="3" spans="1:44" ht="15" customHeight="1" x14ac:dyDescent="0.3">
      <c r="A3" s="63"/>
      <c r="B3" s="63"/>
      <c r="C3" s="63"/>
      <c r="D3" s="63"/>
      <c r="E3" s="63"/>
      <c r="F3" s="63"/>
      <c r="G3" s="63"/>
      <c r="H3" s="63"/>
      <c r="I3" s="63"/>
      <c r="J3" s="63"/>
    </row>
    <row r="4" spans="1:44" ht="15" customHeight="1" x14ac:dyDescent="0.3">
      <c r="A4" s="63"/>
      <c r="B4" s="63"/>
      <c r="C4" s="63"/>
      <c r="D4" s="63"/>
      <c r="E4" s="63"/>
      <c r="F4" s="63"/>
      <c r="G4" s="63"/>
      <c r="H4" s="63"/>
      <c r="I4" s="63"/>
      <c r="J4" s="63"/>
    </row>
    <row r="5" spans="1:44" ht="15" customHeight="1" x14ac:dyDescent="0.3">
      <c r="A5" s="63"/>
      <c r="B5" s="63"/>
      <c r="C5" s="63"/>
      <c r="D5" s="63"/>
      <c r="E5" s="63"/>
      <c r="F5" s="63"/>
      <c r="G5" s="63"/>
      <c r="H5" s="63"/>
      <c r="I5" s="63"/>
      <c r="J5" s="63"/>
    </row>
    <row r="6" spans="1:44" ht="15" customHeight="1" x14ac:dyDescent="0.3">
      <c r="A6" s="63"/>
      <c r="B6" s="63"/>
      <c r="C6" s="63"/>
      <c r="D6" s="63"/>
      <c r="E6" s="63"/>
      <c r="F6" s="63"/>
      <c r="G6" s="63"/>
      <c r="H6" s="63"/>
      <c r="I6" s="63"/>
      <c r="J6" s="63"/>
    </row>
    <row r="7" spans="1:44" ht="15" customHeight="1" x14ac:dyDescent="0.3">
      <c r="A7" s="63"/>
      <c r="B7" s="63"/>
      <c r="C7" s="63"/>
      <c r="D7" s="63"/>
      <c r="E7" s="63"/>
      <c r="F7" s="63"/>
      <c r="G7" s="63"/>
      <c r="H7" s="63"/>
      <c r="I7" s="63"/>
      <c r="J7" s="63"/>
    </row>
    <row r="8" spans="1:44" ht="15" customHeight="1" x14ac:dyDescent="0.3">
      <c r="A8" s="63"/>
      <c r="B8" s="63"/>
      <c r="C8" s="63"/>
      <c r="D8" s="63"/>
      <c r="E8" s="63"/>
      <c r="F8" s="63"/>
      <c r="G8" s="63"/>
      <c r="H8" s="63"/>
      <c r="I8" s="63"/>
      <c r="J8" s="63"/>
    </row>
    <row r="9" spans="1:44" ht="15" customHeight="1" x14ac:dyDescent="0.3">
      <c r="A9" s="63"/>
      <c r="B9" s="63"/>
      <c r="C9" s="63"/>
      <c r="D9" s="63"/>
      <c r="E9" s="63"/>
      <c r="F9" s="63"/>
      <c r="G9" s="63"/>
      <c r="H9" s="63"/>
      <c r="I9" s="63"/>
      <c r="J9" s="63"/>
    </row>
    <row r="10" spans="1:44" ht="15" customHeight="1" x14ac:dyDescent="0.3">
      <c r="A10" s="63"/>
      <c r="B10" s="63"/>
      <c r="C10" s="63"/>
      <c r="D10" s="63"/>
      <c r="E10" s="63"/>
      <c r="F10" s="63"/>
      <c r="G10" s="63"/>
      <c r="H10" s="63"/>
      <c r="I10" s="63"/>
      <c r="J10" s="63"/>
      <c r="AI10"/>
      <c r="AJ10"/>
      <c r="AQ10" s="1"/>
      <c r="AR10" s="1"/>
    </row>
    <row r="11" spans="1:44" ht="15" customHeight="1" x14ac:dyDescent="0.3">
      <c r="A11" s="63"/>
      <c r="B11" s="63"/>
      <c r="C11" s="63"/>
      <c r="D11" s="63"/>
      <c r="E11" s="63"/>
      <c r="F11" s="63"/>
      <c r="G11" s="63"/>
      <c r="H11" s="63"/>
      <c r="I11" s="63"/>
      <c r="J11" s="63"/>
      <c r="AI11"/>
      <c r="AJ11"/>
      <c r="AQ11" s="1"/>
      <c r="AR11" s="1"/>
    </row>
    <row r="12" spans="1:44" ht="24.75" customHeight="1" x14ac:dyDescent="0.3">
      <c r="A12" s="63"/>
      <c r="B12" s="63"/>
      <c r="C12" s="63"/>
      <c r="D12" s="63"/>
      <c r="E12" s="63"/>
      <c r="F12" s="63"/>
      <c r="G12" s="63"/>
      <c r="H12" s="63"/>
      <c r="I12" s="63"/>
      <c r="J12" s="63"/>
      <c r="AI12"/>
      <c r="AJ12"/>
      <c r="AQ12" s="1"/>
      <c r="AR12" s="1"/>
    </row>
    <row r="13" spans="1:44" ht="15" customHeight="1" x14ac:dyDescent="0.3">
      <c r="A13" s="63"/>
      <c r="B13" s="63"/>
      <c r="C13" s="63"/>
      <c r="D13" s="63"/>
      <c r="E13" s="63"/>
      <c r="F13" s="63"/>
      <c r="G13" s="63"/>
      <c r="H13" s="63"/>
      <c r="I13" s="63"/>
      <c r="J13" s="63"/>
      <c r="AI13"/>
      <c r="AJ13"/>
      <c r="AQ13" s="1"/>
      <c r="AR13" s="1"/>
    </row>
    <row r="14" spans="1:44" ht="15" customHeight="1" x14ac:dyDescent="0.3">
      <c r="A14" s="63"/>
      <c r="B14" s="63"/>
      <c r="C14" s="63"/>
      <c r="D14" s="63"/>
      <c r="E14" s="63"/>
      <c r="F14" s="63"/>
      <c r="G14" s="63"/>
      <c r="H14" s="63"/>
      <c r="I14" s="63"/>
      <c r="J14" s="63"/>
      <c r="AI14"/>
      <c r="AJ14"/>
      <c r="AQ14" s="1"/>
      <c r="AR14" s="1"/>
    </row>
    <row r="15" spans="1:44" ht="15" customHeight="1" x14ac:dyDescent="0.3">
      <c r="A15" s="63"/>
      <c r="B15" s="63"/>
      <c r="C15" s="63"/>
      <c r="D15" s="63"/>
      <c r="E15" s="63"/>
      <c r="F15" s="63"/>
      <c r="G15" s="63"/>
      <c r="H15" s="63"/>
      <c r="I15" s="63"/>
      <c r="J15" s="63"/>
    </row>
    <row r="16" spans="1:44" ht="15" customHeight="1" x14ac:dyDescent="0.3">
      <c r="A16" s="63"/>
      <c r="B16" s="63"/>
      <c r="C16" s="63"/>
      <c r="D16" s="63"/>
      <c r="E16" s="63"/>
      <c r="F16" s="63"/>
      <c r="G16" s="63"/>
      <c r="H16" s="63"/>
      <c r="I16" s="63"/>
      <c r="J16" s="63"/>
    </row>
    <row r="17" spans="1:10" ht="15" customHeight="1" x14ac:dyDescent="0.3">
      <c r="A17" s="63"/>
      <c r="B17" s="63"/>
      <c r="C17" s="63"/>
      <c r="D17" s="63"/>
      <c r="E17" s="63"/>
      <c r="F17" s="63"/>
      <c r="G17" s="63"/>
      <c r="H17" s="63"/>
      <c r="I17" s="63"/>
      <c r="J17" s="63"/>
    </row>
    <row r="18" spans="1:10" ht="15" customHeight="1" x14ac:dyDescent="0.3">
      <c r="A18" s="63"/>
      <c r="B18" s="63"/>
      <c r="C18" s="63"/>
      <c r="D18" s="63"/>
      <c r="E18" s="63"/>
      <c r="F18" s="63"/>
      <c r="G18" s="63"/>
      <c r="H18" s="63"/>
      <c r="I18" s="63"/>
      <c r="J18" s="63"/>
    </row>
    <row r="19" spans="1:10" ht="15" customHeight="1" x14ac:dyDescent="0.3">
      <c r="A19" s="63"/>
      <c r="B19" s="63"/>
      <c r="C19" s="63"/>
      <c r="D19" s="63"/>
      <c r="E19" s="63"/>
      <c r="F19" s="63"/>
      <c r="G19" s="63"/>
      <c r="H19" s="63"/>
      <c r="I19" s="63"/>
      <c r="J19" s="63"/>
    </row>
    <row r="20" spans="1:10" ht="15" customHeight="1" x14ac:dyDescent="0.3">
      <c r="A20" s="63"/>
      <c r="B20" s="63"/>
      <c r="C20" s="63"/>
      <c r="D20" s="63"/>
      <c r="E20" s="63"/>
      <c r="F20" s="63"/>
      <c r="G20" s="63"/>
      <c r="H20" s="63"/>
      <c r="I20" s="63"/>
      <c r="J20" s="63"/>
    </row>
    <row r="21" spans="1:10" ht="15" customHeight="1" x14ac:dyDescent="0.3">
      <c r="A21" s="63"/>
      <c r="B21" s="63"/>
      <c r="C21" s="63"/>
      <c r="D21" s="63"/>
      <c r="E21" s="63"/>
      <c r="F21" s="63"/>
      <c r="G21" s="63"/>
      <c r="H21" s="63"/>
      <c r="I21" s="63"/>
      <c r="J21" s="63"/>
    </row>
    <row r="22" spans="1:10" ht="15" customHeight="1" x14ac:dyDescent="0.3">
      <c r="A22" s="63"/>
      <c r="B22" s="63"/>
      <c r="C22" s="63"/>
      <c r="D22" s="63"/>
      <c r="E22" s="63"/>
      <c r="F22" s="63"/>
      <c r="G22" s="63"/>
      <c r="H22" s="63"/>
      <c r="I22" s="63"/>
      <c r="J22" s="63"/>
    </row>
    <row r="23" spans="1:10" ht="15" customHeight="1" x14ac:dyDescent="0.3">
      <c r="A23" s="63"/>
      <c r="B23" s="63"/>
      <c r="C23" s="63"/>
      <c r="D23" s="63"/>
      <c r="E23" s="63"/>
      <c r="F23" s="63"/>
      <c r="G23" s="63"/>
      <c r="H23" s="63"/>
      <c r="I23" s="63"/>
      <c r="J23" s="63"/>
    </row>
    <row r="24" spans="1:10" ht="15" customHeight="1" x14ac:dyDescent="0.3">
      <c r="A24" s="63"/>
      <c r="B24" s="63"/>
      <c r="C24" s="63"/>
      <c r="D24" s="63"/>
      <c r="E24" s="63"/>
      <c r="F24" s="63"/>
      <c r="G24" s="63"/>
      <c r="H24" s="63"/>
      <c r="I24" s="63"/>
      <c r="J24" s="63"/>
    </row>
    <row r="25" spans="1:10" ht="15" customHeight="1" x14ac:dyDescent="0.3">
      <c r="A25" s="63"/>
      <c r="B25" s="63"/>
      <c r="C25" s="63"/>
      <c r="D25" s="63"/>
      <c r="E25" s="63"/>
      <c r="F25" s="63"/>
      <c r="G25" s="63"/>
      <c r="H25" s="63"/>
      <c r="I25" s="63"/>
      <c r="J25" s="63"/>
    </row>
    <row r="26" spans="1:10" ht="15" customHeight="1" x14ac:dyDescent="0.3">
      <c r="A26" s="63"/>
      <c r="B26" s="63"/>
      <c r="C26" s="63"/>
      <c r="D26" s="63"/>
      <c r="E26" s="63"/>
      <c r="F26" s="63"/>
      <c r="G26" s="63"/>
      <c r="H26" s="63"/>
      <c r="I26" s="63"/>
      <c r="J26" s="63"/>
    </row>
    <row r="27" spans="1:10" ht="15" customHeight="1" x14ac:dyDescent="0.3">
      <c r="A27" s="63"/>
      <c r="B27" s="63"/>
      <c r="C27" s="63"/>
      <c r="D27" s="63"/>
      <c r="E27" s="63"/>
      <c r="F27" s="63"/>
      <c r="G27" s="63"/>
      <c r="H27" s="63"/>
      <c r="I27" s="63"/>
      <c r="J27" s="63"/>
    </row>
    <row r="28" spans="1:10" ht="15" customHeight="1" x14ac:dyDescent="0.3">
      <c r="A28" s="63"/>
      <c r="B28" s="63"/>
      <c r="C28" s="63"/>
      <c r="D28" s="63"/>
      <c r="E28" s="63"/>
      <c r="F28" s="63"/>
      <c r="G28" s="63"/>
      <c r="H28" s="63"/>
      <c r="I28" s="63"/>
      <c r="J28" s="63"/>
    </row>
    <row r="29" spans="1:10" ht="15" customHeight="1" x14ac:dyDescent="0.3">
      <c r="A29" s="63"/>
      <c r="B29" s="63"/>
      <c r="C29" s="63"/>
      <c r="D29" s="63"/>
      <c r="E29" s="63"/>
      <c r="F29" s="63"/>
      <c r="G29" s="63"/>
      <c r="H29" s="63"/>
      <c r="I29" s="63"/>
      <c r="J29" s="63"/>
    </row>
    <row r="30" spans="1:10" ht="15" customHeight="1" x14ac:dyDescent="0.3">
      <c r="A30" s="63"/>
      <c r="B30" s="63"/>
      <c r="C30" s="63"/>
      <c r="D30" s="63"/>
      <c r="E30" s="63"/>
      <c r="F30" s="63"/>
      <c r="G30" s="63"/>
      <c r="H30" s="63"/>
      <c r="I30" s="63"/>
      <c r="J30" s="63"/>
    </row>
    <row r="31" spans="1:10" ht="15" customHeight="1" x14ac:dyDescent="0.3">
      <c r="A31" s="63"/>
      <c r="B31" s="63"/>
      <c r="C31" s="63"/>
      <c r="D31" s="63"/>
      <c r="E31" s="63"/>
      <c r="F31" s="63"/>
      <c r="G31" s="63"/>
      <c r="H31" s="63"/>
      <c r="I31" s="63"/>
      <c r="J31" s="63"/>
    </row>
    <row r="32" spans="1:10" ht="15" customHeight="1" x14ac:dyDescent="0.3">
      <c r="A32" s="63"/>
      <c r="B32" s="63"/>
      <c r="C32" s="63"/>
      <c r="D32" s="63"/>
      <c r="E32" s="63"/>
      <c r="F32" s="63"/>
      <c r="G32" s="63"/>
      <c r="H32" s="63"/>
      <c r="I32" s="63"/>
      <c r="J32" s="63"/>
    </row>
    <row r="33" spans="1:10" ht="15" customHeight="1" x14ac:dyDescent="0.3">
      <c r="A33" s="63"/>
      <c r="B33" s="63"/>
      <c r="C33" s="63"/>
      <c r="D33" s="63"/>
      <c r="E33" s="63"/>
      <c r="F33" s="63"/>
      <c r="G33" s="63"/>
      <c r="H33" s="63"/>
      <c r="I33" s="63"/>
      <c r="J33" s="63"/>
    </row>
    <row r="34" spans="1:10" ht="15" customHeight="1" x14ac:dyDescent="0.3">
      <c r="A34" s="63"/>
      <c r="B34" s="63"/>
      <c r="C34" s="63"/>
      <c r="D34" s="63"/>
      <c r="E34" s="63"/>
      <c r="F34" s="63"/>
      <c r="G34" s="63"/>
      <c r="H34" s="63"/>
      <c r="I34" s="63"/>
      <c r="J34" s="63"/>
    </row>
    <row r="35" spans="1:10" ht="15" customHeight="1" x14ac:dyDescent="0.3">
      <c r="A35" s="63"/>
      <c r="B35" s="63"/>
      <c r="C35" s="63"/>
      <c r="D35" s="63"/>
      <c r="E35" s="63"/>
      <c r="F35" s="63"/>
      <c r="G35" s="63"/>
      <c r="H35" s="63"/>
      <c r="I35" s="63"/>
      <c r="J35" s="63"/>
    </row>
    <row r="36" spans="1:10" ht="15" customHeight="1" x14ac:dyDescent="0.3">
      <c r="A36" s="63"/>
      <c r="B36" s="63"/>
      <c r="C36" s="63"/>
      <c r="D36" s="63"/>
      <c r="E36" s="63"/>
      <c r="F36" s="63"/>
      <c r="G36" s="63"/>
      <c r="H36" s="63"/>
      <c r="I36" s="63"/>
      <c r="J36" s="63"/>
    </row>
    <row r="37" spans="1:10" ht="15" customHeight="1" x14ac:dyDescent="0.3">
      <c r="A37" s="63"/>
      <c r="B37" s="63"/>
      <c r="C37" s="63"/>
      <c r="D37" s="63"/>
      <c r="E37" s="63"/>
      <c r="F37" s="63"/>
      <c r="G37" s="63"/>
      <c r="H37" s="63"/>
      <c r="I37" s="63"/>
      <c r="J37" s="63"/>
    </row>
    <row r="38" spans="1:10" ht="15" customHeight="1" x14ac:dyDescent="0.3">
      <c r="A38" s="63"/>
      <c r="B38" s="63"/>
      <c r="C38" s="63"/>
      <c r="D38" s="63"/>
      <c r="E38" s="63"/>
      <c r="F38" s="63"/>
      <c r="G38" s="63"/>
      <c r="H38" s="63"/>
      <c r="I38" s="63"/>
      <c r="J38" s="63"/>
    </row>
    <row r="39" spans="1:10" ht="15" customHeight="1" x14ac:dyDescent="0.3">
      <c r="A39" s="63"/>
      <c r="B39" s="63"/>
      <c r="C39" s="63"/>
      <c r="D39" s="63"/>
      <c r="E39" s="63"/>
      <c r="F39" s="63"/>
      <c r="G39" s="63"/>
      <c r="H39" s="63"/>
      <c r="I39" s="63"/>
      <c r="J39" s="63"/>
    </row>
    <row r="40" spans="1:10" ht="15" customHeight="1" x14ac:dyDescent="0.3">
      <c r="A40" s="63"/>
      <c r="B40" s="63"/>
      <c r="C40" s="63"/>
      <c r="D40" s="63"/>
      <c r="E40" s="63"/>
      <c r="F40" s="63"/>
      <c r="G40" s="63"/>
      <c r="H40" s="63"/>
      <c r="I40" s="63"/>
      <c r="J40" s="63"/>
    </row>
    <row r="41" spans="1:10" ht="15" customHeight="1" x14ac:dyDescent="0.3">
      <c r="A41" s="63"/>
      <c r="B41" s="63"/>
      <c r="C41" s="63"/>
      <c r="D41" s="63"/>
      <c r="E41" s="63"/>
      <c r="F41" s="63"/>
      <c r="G41" s="63"/>
      <c r="H41" s="63"/>
      <c r="I41" s="63"/>
      <c r="J41" s="63"/>
    </row>
    <row r="42" spans="1:10" ht="15" customHeight="1" x14ac:dyDescent="0.3">
      <c r="A42" s="63"/>
      <c r="B42" s="63"/>
      <c r="C42" s="63"/>
      <c r="D42" s="63"/>
      <c r="E42" s="63"/>
      <c r="F42" s="63"/>
      <c r="G42" s="63"/>
      <c r="H42" s="63"/>
      <c r="I42" s="63"/>
      <c r="J42" s="63"/>
    </row>
    <row r="43" spans="1:10" ht="15" customHeight="1" x14ac:dyDescent="0.3">
      <c r="A43" s="63"/>
      <c r="B43" s="63"/>
      <c r="C43" s="63"/>
      <c r="D43" s="63"/>
      <c r="E43" s="63"/>
      <c r="F43" s="63"/>
      <c r="G43" s="63"/>
      <c r="H43" s="63"/>
      <c r="I43" s="63"/>
      <c r="J43" s="63"/>
    </row>
    <row r="44" spans="1:10" ht="15" customHeight="1" x14ac:dyDescent="0.3">
      <c r="A44" s="63"/>
      <c r="B44" s="63"/>
      <c r="C44" s="63"/>
      <c r="D44" s="63"/>
      <c r="E44" s="63"/>
      <c r="F44" s="63"/>
      <c r="G44" s="63"/>
      <c r="H44" s="63"/>
      <c r="I44" s="63"/>
      <c r="J44" s="63"/>
    </row>
    <row r="45" spans="1:10" ht="15" customHeight="1" x14ac:dyDescent="0.3">
      <c r="A45" s="63"/>
      <c r="B45" s="63"/>
      <c r="C45" s="63"/>
      <c r="D45" s="63"/>
      <c r="E45" s="63"/>
      <c r="F45" s="63"/>
      <c r="G45" s="63"/>
      <c r="H45" s="63"/>
      <c r="I45" s="63"/>
      <c r="J45" s="63"/>
    </row>
    <row r="46" spans="1:10" ht="15" customHeight="1" x14ac:dyDescent="0.3">
      <c r="A46" s="63"/>
      <c r="B46" s="63"/>
      <c r="C46" s="63"/>
      <c r="D46" s="63"/>
      <c r="E46" s="63"/>
      <c r="F46" s="63"/>
      <c r="G46" s="63"/>
      <c r="H46" s="63"/>
      <c r="I46" s="63"/>
      <c r="J46" s="63"/>
    </row>
    <row r="47" spans="1:10" ht="15" customHeight="1" x14ac:dyDescent="0.3">
      <c r="A47" s="63"/>
      <c r="B47" s="63"/>
      <c r="C47" s="63"/>
      <c r="D47" s="63"/>
      <c r="E47" s="63"/>
      <c r="F47" s="63"/>
      <c r="G47" s="63"/>
      <c r="H47" s="63"/>
      <c r="I47" s="63"/>
      <c r="J47" s="63"/>
    </row>
    <row r="48" spans="1:10" ht="15" customHeight="1" x14ac:dyDescent="0.3">
      <c r="A48" s="63"/>
      <c r="B48" s="63"/>
      <c r="C48" s="63"/>
      <c r="D48" s="63"/>
      <c r="E48" s="63"/>
      <c r="F48" s="63"/>
      <c r="G48" s="63"/>
      <c r="H48" s="63"/>
      <c r="I48" s="63"/>
      <c r="J48" s="63"/>
    </row>
    <row r="49" spans="1:10" ht="15" customHeight="1" x14ac:dyDescent="0.3">
      <c r="A49" s="27"/>
      <c r="B49" s="27"/>
      <c r="C49" s="27"/>
      <c r="D49" s="27"/>
      <c r="E49" s="27"/>
      <c r="F49" s="27"/>
      <c r="G49" s="27"/>
      <c r="H49" s="27"/>
      <c r="I49" s="27"/>
    </row>
    <row r="50" spans="1:10" ht="16.2" x14ac:dyDescent="0.35">
      <c r="A50" s="2" t="s">
        <v>119</v>
      </c>
    </row>
    <row r="51" spans="1:10" ht="15" customHeight="1" x14ac:dyDescent="0.3">
      <c r="A51" s="61" t="s">
        <v>89</v>
      </c>
      <c r="B51" s="61"/>
      <c r="C51" s="61"/>
      <c r="D51" s="61"/>
      <c r="E51" s="61"/>
      <c r="F51" s="61"/>
      <c r="G51" s="61"/>
      <c r="H51" s="61"/>
      <c r="I51" s="61"/>
      <c r="J51" s="61"/>
    </row>
    <row r="52" spans="1:10" ht="15" customHeight="1" x14ac:dyDescent="0.3">
      <c r="A52" s="61"/>
      <c r="B52" s="61"/>
      <c r="C52" s="61"/>
      <c r="D52" s="61"/>
      <c r="E52" s="61"/>
      <c r="F52" s="61"/>
      <c r="G52" s="61"/>
      <c r="H52" s="61"/>
      <c r="I52" s="61"/>
      <c r="J52" s="61"/>
    </row>
    <row r="69" spans="1:10" x14ac:dyDescent="0.3">
      <c r="A69" s="3" t="s">
        <v>0</v>
      </c>
      <c r="B69" s="3">
        <v>2010</v>
      </c>
      <c r="C69" s="3">
        <f>B69+1</f>
        <v>2011</v>
      </c>
      <c r="D69" s="3">
        <f t="shared" ref="D69:J69" si="0">C69+1</f>
        <v>2012</v>
      </c>
      <c r="E69" s="3">
        <f t="shared" si="0"/>
        <v>2013</v>
      </c>
      <c r="F69" s="3">
        <f t="shared" si="0"/>
        <v>2014</v>
      </c>
      <c r="G69" s="3">
        <f t="shared" si="0"/>
        <v>2015</v>
      </c>
      <c r="H69" s="3">
        <f t="shared" si="0"/>
        <v>2016</v>
      </c>
      <c r="I69" s="3">
        <f t="shared" si="0"/>
        <v>2017</v>
      </c>
      <c r="J69" s="3">
        <f t="shared" si="0"/>
        <v>2018</v>
      </c>
    </row>
    <row r="70" spans="1:10" x14ac:dyDescent="0.3">
      <c r="A70" s="9" t="s">
        <v>2</v>
      </c>
      <c r="B70" s="3">
        <f>SUM(Calculate!C12:C13)</f>
        <v>2</v>
      </c>
      <c r="C70" s="3">
        <f>SUM(Calculate!D12:D13)</f>
        <v>9</v>
      </c>
      <c r="D70" s="3">
        <f>SUM(Calculate!E12:E13)</f>
        <v>6</v>
      </c>
      <c r="E70" s="3">
        <f>SUM(Calculate!F12:F13)</f>
        <v>16</v>
      </c>
      <c r="F70" s="3">
        <f>SUM(Calculate!G12:G13)</f>
        <v>7</v>
      </c>
      <c r="G70" s="3">
        <f>SUM(Calculate!H12:H13)</f>
        <v>36</v>
      </c>
      <c r="H70" s="3">
        <f>SUM(Calculate!I12:I13)</f>
        <v>41</v>
      </c>
      <c r="I70" s="3">
        <f>SUM(Calculate!J12:J13)</f>
        <v>25</v>
      </c>
      <c r="J70" s="3">
        <f>SUM(Calculate!K12:K13)</f>
        <v>8</v>
      </c>
    </row>
    <row r="71" spans="1:10" x14ac:dyDescent="0.3">
      <c r="A71" s="1" t="s">
        <v>73</v>
      </c>
      <c r="B71" s="71" t="s">
        <v>74</v>
      </c>
      <c r="C71" s="71"/>
      <c r="D71" s="1">
        <f>Calculate!S13</f>
        <v>46</v>
      </c>
      <c r="E71" s="1" t="s">
        <v>44</v>
      </c>
      <c r="F71" s="71" t="s">
        <v>75</v>
      </c>
      <c r="G71" s="71"/>
      <c r="H71" s="1">
        <f>Calculate!S12</f>
        <v>104</v>
      </c>
      <c r="I71" s="1" t="s">
        <v>44</v>
      </c>
    </row>
    <row r="72" spans="1:10" x14ac:dyDescent="0.3">
      <c r="B72" s="29"/>
      <c r="C72" s="29"/>
      <c r="D72" s="44">
        <f>D71/(D71+H71)</f>
        <v>0.30666666666666664</v>
      </c>
      <c r="H72" s="45">
        <f>H71/(D71+H71)</f>
        <v>0.69333333333333336</v>
      </c>
    </row>
    <row r="73" spans="1:10" ht="15.75" customHeight="1" x14ac:dyDescent="0.3">
      <c r="A73" s="64" t="s">
        <v>142</v>
      </c>
      <c r="B73" s="64"/>
      <c r="C73" s="64"/>
      <c r="D73" s="64"/>
      <c r="E73" s="64"/>
      <c r="F73" s="64"/>
      <c r="G73" s="64"/>
      <c r="H73" s="64"/>
      <c r="I73" s="64"/>
      <c r="J73" s="64"/>
    </row>
    <row r="75" spans="1:10" ht="15" customHeight="1" x14ac:dyDescent="0.3">
      <c r="A75" s="61" t="s">
        <v>96</v>
      </c>
      <c r="B75" s="61"/>
      <c r="C75" s="61"/>
      <c r="D75" s="61"/>
      <c r="E75" s="61"/>
      <c r="F75" s="61"/>
      <c r="G75" s="61"/>
      <c r="H75" s="61"/>
      <c r="I75" s="61"/>
      <c r="J75" s="61"/>
    </row>
    <row r="76" spans="1:10" ht="15" customHeight="1" x14ac:dyDescent="0.3">
      <c r="A76" s="61"/>
      <c r="B76" s="61"/>
      <c r="C76" s="61"/>
      <c r="D76" s="61"/>
      <c r="E76" s="61"/>
      <c r="F76" s="61"/>
      <c r="G76" s="61"/>
      <c r="H76" s="61"/>
      <c r="I76" s="61"/>
      <c r="J76" s="61"/>
    </row>
    <row r="93" spans="1:10" x14ac:dyDescent="0.3">
      <c r="A93" s="3" t="s">
        <v>0</v>
      </c>
      <c r="B93" s="3">
        <v>2010</v>
      </c>
      <c r="C93" s="3">
        <f>B93+1</f>
        <v>2011</v>
      </c>
      <c r="D93" s="3">
        <f t="shared" ref="D93:J93" si="1">C93+1</f>
        <v>2012</v>
      </c>
      <c r="E93" s="3">
        <f t="shared" si="1"/>
        <v>2013</v>
      </c>
      <c r="F93" s="3">
        <f t="shared" si="1"/>
        <v>2014</v>
      </c>
      <c r="G93" s="3">
        <f t="shared" si="1"/>
        <v>2015</v>
      </c>
      <c r="H93" s="3">
        <f t="shared" si="1"/>
        <v>2016</v>
      </c>
      <c r="I93" s="3">
        <f t="shared" si="1"/>
        <v>2017</v>
      </c>
      <c r="J93" s="3">
        <f t="shared" si="1"/>
        <v>2018</v>
      </c>
    </row>
    <row r="94" spans="1:10" x14ac:dyDescent="0.3">
      <c r="A94" s="69" t="s">
        <v>3</v>
      </c>
      <c r="B94" s="3">
        <f>Calculate!BV3</f>
        <v>2</v>
      </c>
      <c r="C94" s="3">
        <f>Calculate!BV4</f>
        <v>0</v>
      </c>
      <c r="D94" s="3">
        <f>Calculate!BV5</f>
        <v>0</v>
      </c>
      <c r="E94" s="3">
        <f>Calculate!BV6</f>
        <v>0</v>
      </c>
      <c r="F94" s="3">
        <f>Calculate!BV7</f>
        <v>2</v>
      </c>
      <c r="G94" s="3">
        <f>Calculate!BV8</f>
        <v>3</v>
      </c>
      <c r="H94" s="3">
        <f>Calculate!BV9</f>
        <v>2</v>
      </c>
      <c r="I94" s="3">
        <f>Calculate!BV10</f>
        <v>12</v>
      </c>
      <c r="J94" s="3">
        <f>Calculate!BV11</f>
        <v>0</v>
      </c>
    </row>
    <row r="95" spans="1:10" x14ac:dyDescent="0.3">
      <c r="A95" s="70"/>
      <c r="B95" s="50">
        <f t="shared" ref="B95:J95" si="2">IFERROR(B94/(B94+B96),0)</f>
        <v>1</v>
      </c>
      <c r="C95" s="50">
        <f t="shared" si="2"/>
        <v>0</v>
      </c>
      <c r="D95" s="50">
        <f t="shared" si="2"/>
        <v>0</v>
      </c>
      <c r="E95" s="50">
        <f t="shared" si="2"/>
        <v>0</v>
      </c>
      <c r="F95" s="50">
        <f t="shared" si="2"/>
        <v>0.2857142857142857</v>
      </c>
      <c r="G95" s="50">
        <f t="shared" si="2"/>
        <v>8.3333333333333329E-2</v>
      </c>
      <c r="H95" s="50">
        <f t="shared" si="2"/>
        <v>4.878048780487805E-2</v>
      </c>
      <c r="I95" s="50">
        <f t="shared" si="2"/>
        <v>0.48</v>
      </c>
      <c r="J95" s="50">
        <f t="shared" si="2"/>
        <v>0</v>
      </c>
    </row>
    <row r="96" spans="1:10" x14ac:dyDescent="0.3">
      <c r="A96" s="69" t="s">
        <v>4</v>
      </c>
      <c r="B96" s="3">
        <f>Calculate!BW3</f>
        <v>0</v>
      </c>
      <c r="C96" s="3">
        <f>Calculate!BW4</f>
        <v>9</v>
      </c>
      <c r="D96" s="3">
        <f>Calculate!BW5</f>
        <v>6</v>
      </c>
      <c r="E96" s="3">
        <f>Calculate!BW6</f>
        <v>16</v>
      </c>
      <c r="F96" s="3">
        <f>Calculate!BW7</f>
        <v>5</v>
      </c>
      <c r="G96" s="3">
        <f>Calculate!BW8</f>
        <v>33</v>
      </c>
      <c r="H96" s="3">
        <f>Calculate!BW9</f>
        <v>39</v>
      </c>
      <c r="I96" s="3">
        <f>Calculate!BW10</f>
        <v>13</v>
      </c>
      <c r="J96" s="3">
        <f>Calculate!BW11</f>
        <v>8</v>
      </c>
    </row>
    <row r="97" spans="1:10" x14ac:dyDescent="0.3">
      <c r="A97" s="70"/>
      <c r="B97" s="50">
        <f t="shared" ref="B97:J97" si="3">IFERROR(B96/(B94+B96),0)</f>
        <v>0</v>
      </c>
      <c r="C97" s="50">
        <f t="shared" si="3"/>
        <v>1</v>
      </c>
      <c r="D97" s="50">
        <f t="shared" si="3"/>
        <v>1</v>
      </c>
      <c r="E97" s="50">
        <f t="shared" si="3"/>
        <v>1</v>
      </c>
      <c r="F97" s="50">
        <f t="shared" si="3"/>
        <v>0.7142857142857143</v>
      </c>
      <c r="G97" s="50">
        <f t="shared" si="3"/>
        <v>0.91666666666666663</v>
      </c>
      <c r="H97" s="50">
        <f t="shared" si="3"/>
        <v>0.95121951219512191</v>
      </c>
      <c r="I97" s="50">
        <f t="shared" si="3"/>
        <v>0.52</v>
      </c>
      <c r="J97" s="50">
        <f t="shared" si="3"/>
        <v>1</v>
      </c>
    </row>
    <row r="98" spans="1:10" ht="15" customHeight="1" x14ac:dyDescent="0.3">
      <c r="A98" s="1" t="s">
        <v>5</v>
      </c>
    </row>
    <row r="99" spans="1:10" ht="15.75" customHeight="1" x14ac:dyDescent="0.3">
      <c r="A99" s="64" t="s">
        <v>143</v>
      </c>
      <c r="B99" s="64"/>
      <c r="C99" s="64"/>
      <c r="D99" s="64"/>
      <c r="E99" s="64"/>
      <c r="F99" s="64"/>
      <c r="G99" s="64"/>
      <c r="H99" s="64"/>
      <c r="I99" s="64"/>
      <c r="J99" s="64"/>
    </row>
    <row r="100" spans="1:10" ht="15.75" customHeight="1" x14ac:dyDescent="0.3">
      <c r="A100" s="66" t="s">
        <v>248</v>
      </c>
      <c r="B100" s="66"/>
      <c r="C100" s="66"/>
      <c r="D100" s="66"/>
      <c r="E100" s="66"/>
      <c r="F100" s="66"/>
      <c r="G100" s="66"/>
      <c r="H100" s="66"/>
      <c r="I100" s="66"/>
      <c r="J100" s="66"/>
    </row>
    <row r="101" spans="1:10" ht="15.75" customHeight="1" x14ac:dyDescent="0.3">
      <c r="A101" s="66"/>
      <c r="B101" s="66"/>
      <c r="C101" s="66"/>
      <c r="D101" s="66"/>
      <c r="E101" s="66"/>
      <c r="F101" s="66"/>
      <c r="G101" s="66"/>
      <c r="H101" s="66"/>
      <c r="I101" s="66"/>
      <c r="J101" s="66"/>
    </row>
    <row r="102" spans="1:10" ht="15" customHeight="1" x14ac:dyDescent="0.3">
      <c r="A102" s="61" t="s">
        <v>116</v>
      </c>
      <c r="B102" s="61"/>
      <c r="C102" s="61"/>
      <c r="D102" s="61"/>
      <c r="E102" s="61"/>
      <c r="F102" s="61"/>
      <c r="G102" s="61"/>
      <c r="H102" s="61"/>
      <c r="I102" s="61"/>
      <c r="J102" s="61"/>
    </row>
    <row r="103" spans="1:10" ht="15" customHeight="1" x14ac:dyDescent="0.3">
      <c r="A103" s="61"/>
      <c r="B103" s="61"/>
      <c r="C103" s="61"/>
      <c r="D103" s="61"/>
      <c r="E103" s="61"/>
      <c r="F103" s="61"/>
      <c r="G103" s="61"/>
      <c r="H103" s="61"/>
      <c r="I103" s="61"/>
      <c r="J103" s="61"/>
    </row>
    <row r="104" spans="1:10" ht="15.75" customHeight="1" x14ac:dyDescent="0.3">
      <c r="A104" s="61"/>
      <c r="B104" s="61"/>
      <c r="C104" s="61"/>
      <c r="D104" s="61"/>
      <c r="E104" s="61"/>
      <c r="F104" s="61"/>
      <c r="G104" s="61"/>
      <c r="H104" s="61"/>
      <c r="I104" s="61"/>
      <c r="J104" s="61"/>
    </row>
    <row r="122" spans="1:10" ht="15.75" customHeight="1" x14ac:dyDescent="0.3">
      <c r="A122" s="64" t="s">
        <v>249</v>
      </c>
      <c r="B122" s="64"/>
      <c r="C122" s="64"/>
      <c r="D122" s="64"/>
      <c r="E122" s="64"/>
      <c r="F122" s="64"/>
      <c r="G122" s="64"/>
      <c r="H122" s="64"/>
      <c r="I122" s="64"/>
      <c r="J122" s="64"/>
    </row>
    <row r="123" spans="1:10" ht="15" customHeight="1" x14ac:dyDescent="0.3">
      <c r="A123" s="64"/>
      <c r="B123" s="64"/>
      <c r="C123" s="64"/>
      <c r="D123" s="64"/>
      <c r="E123" s="64"/>
      <c r="F123" s="64"/>
      <c r="G123" s="64"/>
      <c r="H123" s="64"/>
      <c r="I123" s="64"/>
      <c r="J123" s="64"/>
    </row>
    <row r="125" spans="1:10" ht="15" customHeight="1" x14ac:dyDescent="0.3">
      <c r="A125" s="61" t="s">
        <v>117</v>
      </c>
      <c r="B125" s="61"/>
      <c r="C125" s="61"/>
      <c r="D125" s="61"/>
      <c r="E125" s="61"/>
      <c r="F125" s="61"/>
      <c r="G125" s="61"/>
      <c r="H125" s="61"/>
      <c r="I125" s="61"/>
      <c r="J125" s="61"/>
    </row>
    <row r="126" spans="1:10" ht="15" customHeight="1" x14ac:dyDescent="0.3">
      <c r="A126" s="61"/>
      <c r="B126" s="61"/>
      <c r="C126" s="61"/>
      <c r="D126" s="61"/>
      <c r="E126" s="61"/>
      <c r="F126" s="61"/>
      <c r="G126" s="61"/>
      <c r="H126" s="61"/>
      <c r="I126" s="61"/>
      <c r="J126" s="61"/>
    </row>
    <row r="127" spans="1:10" ht="15" customHeight="1" x14ac:dyDescent="0.3">
      <c r="A127" s="61"/>
      <c r="B127" s="61"/>
      <c r="C127" s="61"/>
      <c r="D127" s="61"/>
      <c r="E127" s="61"/>
      <c r="F127" s="61"/>
      <c r="G127" s="61"/>
      <c r="H127" s="61"/>
      <c r="I127" s="61"/>
      <c r="J127" s="61"/>
    </row>
    <row r="128" spans="1:10" ht="15" customHeight="1" x14ac:dyDescent="0.3">
      <c r="A128" s="61"/>
      <c r="B128" s="61"/>
      <c r="C128" s="61"/>
      <c r="D128" s="61"/>
      <c r="E128" s="61"/>
      <c r="F128" s="61"/>
      <c r="G128" s="61"/>
      <c r="H128" s="61"/>
      <c r="I128" s="61"/>
      <c r="J128" s="61"/>
    </row>
    <row r="129" spans="1:9" ht="15" customHeight="1" x14ac:dyDescent="0.3">
      <c r="A129" s="6"/>
      <c r="B129" s="6"/>
      <c r="C129" s="6"/>
      <c r="D129" s="6"/>
      <c r="E129" s="6"/>
      <c r="F129" s="6"/>
      <c r="G129" s="6"/>
      <c r="H129" s="6"/>
      <c r="I129" s="6"/>
    </row>
    <row r="146" spans="1:10" ht="15.75" customHeight="1" x14ac:dyDescent="0.3">
      <c r="A146" s="64" t="s">
        <v>250</v>
      </c>
      <c r="B146" s="64"/>
      <c r="C146" s="64"/>
      <c r="D146" s="64"/>
      <c r="E146" s="64"/>
      <c r="F146" s="64"/>
      <c r="G146" s="64"/>
      <c r="H146" s="64"/>
      <c r="I146" s="64"/>
      <c r="J146" s="64"/>
    </row>
    <row r="147" spans="1:10" ht="15" customHeight="1" x14ac:dyDescent="0.3">
      <c r="A147" s="64"/>
      <c r="B147" s="64"/>
      <c r="C147" s="64"/>
      <c r="D147" s="64"/>
      <c r="E147" s="64"/>
      <c r="F147" s="64"/>
      <c r="G147" s="64"/>
      <c r="H147" s="64"/>
      <c r="I147" s="64"/>
      <c r="J147" s="64"/>
    </row>
    <row r="150" spans="1:10" ht="15.6" x14ac:dyDescent="0.3">
      <c r="A150" s="2" t="s">
        <v>56</v>
      </c>
    </row>
    <row r="151" spans="1:10" ht="15" customHeight="1" x14ac:dyDescent="0.3">
      <c r="A151" s="61" t="s">
        <v>201</v>
      </c>
      <c r="B151" s="61"/>
      <c r="C151" s="61"/>
      <c r="D151" s="61"/>
      <c r="E151" s="61"/>
      <c r="F151" s="61"/>
      <c r="G151" s="61"/>
      <c r="H151" s="61"/>
      <c r="I151" s="61"/>
      <c r="J151" s="61"/>
    </row>
    <row r="152" spans="1:10" ht="15" customHeight="1" x14ac:dyDescent="0.3">
      <c r="A152" s="61"/>
      <c r="B152" s="61"/>
      <c r="C152" s="61"/>
      <c r="D152" s="61"/>
      <c r="E152" s="61"/>
      <c r="F152" s="61"/>
      <c r="G152" s="61"/>
      <c r="H152" s="61"/>
      <c r="I152" s="61"/>
      <c r="J152" s="61"/>
    </row>
    <row r="168" spans="1:10" x14ac:dyDescent="0.3">
      <c r="A168" s="3" t="s">
        <v>0</v>
      </c>
      <c r="B168" s="3">
        <v>2010</v>
      </c>
      <c r="C168" s="3">
        <f>B168+1</f>
        <v>2011</v>
      </c>
      <c r="D168" s="3">
        <f t="shared" ref="D168:J168" si="4">C168+1</f>
        <v>2012</v>
      </c>
      <c r="E168" s="3">
        <f t="shared" si="4"/>
        <v>2013</v>
      </c>
      <c r="F168" s="3">
        <f t="shared" si="4"/>
        <v>2014</v>
      </c>
      <c r="G168" s="3">
        <f t="shared" si="4"/>
        <v>2015</v>
      </c>
      <c r="H168" s="3">
        <f t="shared" si="4"/>
        <v>2016</v>
      </c>
      <c r="I168" s="3">
        <f t="shared" si="4"/>
        <v>2017</v>
      </c>
      <c r="J168" s="3">
        <f t="shared" si="4"/>
        <v>2018</v>
      </c>
    </row>
    <row r="169" spans="1:10" x14ac:dyDescent="0.3">
      <c r="A169" s="8" t="s">
        <v>49</v>
      </c>
      <c r="B169" s="3">
        <f>Calculate!C72</f>
        <v>0</v>
      </c>
      <c r="C169" s="3">
        <f>Calculate!D72</f>
        <v>2</v>
      </c>
      <c r="D169" s="3">
        <f>Calculate!E72</f>
        <v>1</v>
      </c>
      <c r="E169" s="3">
        <f>Calculate!F72</f>
        <v>3</v>
      </c>
      <c r="F169" s="3">
        <f>Calculate!G72</f>
        <v>0</v>
      </c>
      <c r="G169" s="3">
        <f>Calculate!H72</f>
        <v>13</v>
      </c>
      <c r="H169" s="3">
        <f>Calculate!I72</f>
        <v>11</v>
      </c>
      <c r="I169" s="3">
        <f>Calculate!J72</f>
        <v>17</v>
      </c>
      <c r="J169" s="3">
        <f>Calculate!K72</f>
        <v>6</v>
      </c>
    </row>
    <row r="170" spans="1:10" x14ac:dyDescent="0.3">
      <c r="A170" s="1" t="s">
        <v>1</v>
      </c>
      <c r="B170" s="71" t="s">
        <v>76</v>
      </c>
      <c r="C170" s="71"/>
      <c r="D170" s="1">
        <f>SUM(Calculate!C72:R72)</f>
        <v>53</v>
      </c>
      <c r="E170" s="1" t="s">
        <v>44</v>
      </c>
    </row>
    <row r="171" spans="1:10" ht="15.75" customHeight="1" x14ac:dyDescent="0.3">
      <c r="A171" s="64" t="s">
        <v>144</v>
      </c>
      <c r="B171" s="64"/>
      <c r="C171" s="64"/>
      <c r="D171" s="64"/>
      <c r="E171" s="64"/>
      <c r="F171" s="64"/>
      <c r="G171" s="64"/>
      <c r="H171" s="64"/>
      <c r="I171" s="64"/>
      <c r="J171" s="64"/>
    </row>
    <row r="172" spans="1:10" ht="15.6" x14ac:dyDescent="0.3">
      <c r="A172" s="7"/>
      <c r="B172" s="7"/>
      <c r="C172" s="7"/>
      <c r="D172" s="7"/>
      <c r="E172" s="7"/>
      <c r="F172" s="7"/>
      <c r="G172" s="7"/>
      <c r="H172" s="7"/>
      <c r="I172" s="7"/>
    </row>
    <row r="173" spans="1:10" ht="15" customHeight="1" x14ac:dyDescent="0.3">
      <c r="A173" s="61" t="s">
        <v>187</v>
      </c>
      <c r="B173" s="61"/>
      <c r="C173" s="61"/>
      <c r="D173" s="61"/>
      <c r="E173" s="61"/>
      <c r="F173" s="61"/>
      <c r="G173" s="61"/>
      <c r="H173" s="61"/>
      <c r="I173" s="61"/>
      <c r="J173" s="61"/>
    </row>
    <row r="174" spans="1:10" ht="15" customHeight="1" x14ac:dyDescent="0.3">
      <c r="A174" s="61"/>
      <c r="B174" s="61"/>
      <c r="C174" s="61"/>
      <c r="D174" s="61"/>
      <c r="E174" s="61"/>
      <c r="F174" s="61"/>
      <c r="G174" s="61"/>
      <c r="H174" s="61"/>
      <c r="I174" s="61"/>
      <c r="J174" s="61"/>
    </row>
    <row r="175" spans="1:10" ht="15" customHeight="1" x14ac:dyDescent="0.3">
      <c r="A175" s="61"/>
      <c r="B175" s="61"/>
      <c r="C175" s="61"/>
      <c r="D175" s="61"/>
      <c r="E175" s="61"/>
      <c r="F175" s="61"/>
      <c r="G175" s="61"/>
      <c r="H175" s="61"/>
      <c r="I175" s="61"/>
      <c r="J175" s="61"/>
    </row>
    <row r="176" spans="1:10" ht="15" customHeight="1" x14ac:dyDescent="0.3">
      <c r="A176" s="61"/>
      <c r="B176" s="61"/>
      <c r="C176" s="61"/>
      <c r="D176" s="61"/>
      <c r="E176" s="61"/>
      <c r="F176" s="61"/>
      <c r="G176" s="61"/>
      <c r="H176" s="61"/>
      <c r="I176" s="61"/>
      <c r="J176" s="61"/>
    </row>
    <row r="194" spans="1:44" x14ac:dyDescent="0.3">
      <c r="A194" s="3" t="s">
        <v>0</v>
      </c>
      <c r="B194" s="3">
        <v>2010</v>
      </c>
      <c r="C194" s="3">
        <f>B194+1</f>
        <v>2011</v>
      </c>
      <c r="D194" s="3">
        <f t="shared" ref="D194:J194" si="5">C194+1</f>
        <v>2012</v>
      </c>
      <c r="E194" s="3">
        <f t="shared" si="5"/>
        <v>2013</v>
      </c>
      <c r="F194" s="3">
        <f t="shared" si="5"/>
        <v>2014</v>
      </c>
      <c r="G194" s="3">
        <f t="shared" si="5"/>
        <v>2015</v>
      </c>
      <c r="H194" s="3">
        <f t="shared" si="5"/>
        <v>2016</v>
      </c>
      <c r="I194" s="3">
        <f t="shared" si="5"/>
        <v>2017</v>
      </c>
      <c r="J194" s="3">
        <f t="shared" si="5"/>
        <v>2018</v>
      </c>
    </row>
    <row r="195" spans="1:44" s="4" customFormat="1" x14ac:dyDescent="0.3">
      <c r="A195" s="72" t="s">
        <v>6</v>
      </c>
      <c r="B195" s="67">
        <f>Calculate!C91</f>
        <v>0</v>
      </c>
      <c r="C195" s="67">
        <f>Calculate!D91</f>
        <v>0</v>
      </c>
      <c r="D195" s="67">
        <f>Calculate!E91</f>
        <v>0</v>
      </c>
      <c r="E195" s="67">
        <f>Calculate!F91</f>
        <v>0</v>
      </c>
      <c r="F195" s="67">
        <f>Calculate!G91</f>
        <v>0</v>
      </c>
      <c r="G195" s="67">
        <f>Calculate!H91</f>
        <v>0</v>
      </c>
      <c r="H195" s="67">
        <f>Calculate!I91</f>
        <v>0</v>
      </c>
      <c r="I195" s="67">
        <f>Calculate!J91</f>
        <v>1</v>
      </c>
      <c r="J195" s="67">
        <f>Calculate!K91</f>
        <v>1</v>
      </c>
      <c r="AQ195" s="5"/>
      <c r="AR195" s="5"/>
    </row>
    <row r="196" spans="1:44" x14ac:dyDescent="0.3">
      <c r="A196" s="72"/>
      <c r="B196" s="67"/>
      <c r="C196" s="67"/>
      <c r="D196" s="67"/>
      <c r="E196" s="67"/>
      <c r="F196" s="67"/>
      <c r="G196" s="67"/>
      <c r="H196" s="67"/>
      <c r="I196" s="67"/>
      <c r="J196" s="67"/>
    </row>
    <row r="197" spans="1:44" x14ac:dyDescent="0.3">
      <c r="A197" s="1" t="s">
        <v>7</v>
      </c>
    </row>
    <row r="198" spans="1:44" ht="15.75" customHeight="1" x14ac:dyDescent="0.3">
      <c r="A198" s="64" t="s">
        <v>145</v>
      </c>
      <c r="B198" s="64"/>
      <c r="C198" s="64"/>
      <c r="D198" s="64"/>
      <c r="E198" s="64"/>
      <c r="F198" s="64"/>
      <c r="G198" s="64"/>
      <c r="H198" s="64"/>
      <c r="I198" s="64"/>
      <c r="J198" s="64"/>
    </row>
    <row r="200" spans="1:44" ht="15.75" customHeight="1" x14ac:dyDescent="0.3">
      <c r="A200" s="68" t="s">
        <v>118</v>
      </c>
      <c r="B200" s="68"/>
      <c r="C200" s="68"/>
      <c r="D200" s="68"/>
      <c r="E200" s="68"/>
      <c r="F200" s="68"/>
      <c r="G200" s="68"/>
      <c r="H200" s="68"/>
      <c r="I200" s="68"/>
      <c r="J200" s="68"/>
    </row>
    <row r="201" spans="1:44" ht="15" customHeight="1" x14ac:dyDescent="0.3">
      <c r="A201" s="68"/>
      <c r="B201" s="68"/>
      <c r="C201" s="68"/>
      <c r="D201" s="68"/>
      <c r="E201" s="68"/>
      <c r="F201" s="68"/>
      <c r="G201" s="68"/>
      <c r="H201" s="68"/>
      <c r="I201" s="68"/>
      <c r="J201" s="68"/>
    </row>
    <row r="218" spans="1:10" ht="15.75" customHeight="1" x14ac:dyDescent="0.3">
      <c r="A218" s="86" t="s">
        <v>146</v>
      </c>
      <c r="B218" s="86"/>
      <c r="C218" s="86"/>
      <c r="D218" s="86"/>
      <c r="E218" s="86"/>
      <c r="F218" s="86"/>
      <c r="G218" s="86"/>
      <c r="H218" s="86"/>
      <c r="I218" s="86"/>
      <c r="J218" s="86"/>
    </row>
    <row r="219" spans="1:10" ht="15" customHeight="1" x14ac:dyDescent="0.3">
      <c r="A219" s="86"/>
      <c r="B219" s="86"/>
      <c r="C219" s="86"/>
      <c r="D219" s="86"/>
      <c r="E219" s="86"/>
      <c r="F219" s="86"/>
      <c r="G219" s="86"/>
      <c r="H219" s="86"/>
      <c r="I219" s="86"/>
      <c r="J219" s="86"/>
    </row>
  </sheetData>
  <mergeCells count="31">
    <mergeCell ref="A198:J198"/>
    <mergeCell ref="J195:J196"/>
    <mergeCell ref="A200:J201"/>
    <mergeCell ref="A218:J219"/>
    <mergeCell ref="A125:J128"/>
    <mergeCell ref="A146:J147"/>
    <mergeCell ref="A151:J152"/>
    <mergeCell ref="A171:J171"/>
    <mergeCell ref="A173:J176"/>
    <mergeCell ref="H195:H196"/>
    <mergeCell ref="I195:I196"/>
    <mergeCell ref="B170:C170"/>
    <mergeCell ref="A195:A196"/>
    <mergeCell ref="B195:B196"/>
    <mergeCell ref="C195:C196"/>
    <mergeCell ref="D195:D196"/>
    <mergeCell ref="E195:E196"/>
    <mergeCell ref="F195:F196"/>
    <mergeCell ref="G195:G196"/>
    <mergeCell ref="A1:J48"/>
    <mergeCell ref="B71:C71"/>
    <mergeCell ref="F71:G71"/>
    <mergeCell ref="A94:A95"/>
    <mergeCell ref="A96:A97"/>
    <mergeCell ref="A73:J73"/>
    <mergeCell ref="A51:J52"/>
    <mergeCell ref="A75:J76"/>
    <mergeCell ref="A99:J99"/>
    <mergeCell ref="A100:J101"/>
    <mergeCell ref="A102:J104"/>
    <mergeCell ref="A122:J123"/>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O6"/>
  <sheetViews>
    <sheetView view="pageLayout" zoomScale="62" zoomScaleNormal="100" zoomScalePageLayoutView="62" workbookViewId="0">
      <selection activeCell="D5" sqref="D5"/>
    </sheetView>
  </sheetViews>
  <sheetFormatPr defaultRowHeight="15.6" x14ac:dyDescent="0.3"/>
  <cols>
    <col min="1" max="1" width="3.88671875" style="32" customWidth="1"/>
    <col min="2" max="2" width="9.5546875" customWidth="1"/>
    <col min="3" max="3" width="13.33203125" customWidth="1"/>
    <col min="4" max="4" width="20.44140625" customWidth="1"/>
    <col min="5" max="5" width="9" customWidth="1"/>
    <col min="6" max="6" width="14.33203125" customWidth="1"/>
    <col min="7" max="7" width="16.6640625" customWidth="1"/>
  </cols>
  <sheetData>
    <row r="1" spans="1:41" s="1" customFormat="1" ht="15" customHeight="1" x14ac:dyDescent="0.3">
      <c r="A1" s="61" t="s">
        <v>223</v>
      </c>
      <c r="B1" s="61"/>
      <c r="C1" s="61"/>
      <c r="D1" s="61"/>
      <c r="E1" s="61"/>
      <c r="F1" s="61"/>
      <c r="G1" s="61"/>
      <c r="AN1"/>
      <c r="AO1"/>
    </row>
    <row r="2" spans="1:41" s="1" customFormat="1" ht="15" customHeight="1" x14ac:dyDescent="0.3">
      <c r="A2" s="61"/>
      <c r="B2" s="61"/>
      <c r="C2" s="61"/>
      <c r="D2" s="61"/>
      <c r="E2" s="61"/>
      <c r="F2" s="61"/>
      <c r="G2" s="61"/>
      <c r="AN2"/>
      <c r="AO2"/>
    </row>
    <row r="3" spans="1:41" s="1" customFormat="1" ht="15.75" customHeight="1" x14ac:dyDescent="0.3">
      <c r="A3" s="62" t="s">
        <v>166</v>
      </c>
      <c r="B3" s="62"/>
      <c r="C3" s="62"/>
      <c r="D3" s="62"/>
      <c r="E3" s="62"/>
      <c r="F3" s="62"/>
      <c r="G3" s="62"/>
      <c r="AN3"/>
      <c r="AO3"/>
    </row>
    <row r="4" spans="1:41" s="1" customFormat="1" ht="31.8" x14ac:dyDescent="0.3">
      <c r="A4" s="36" t="s">
        <v>84</v>
      </c>
      <c r="B4" s="34" t="s">
        <v>8</v>
      </c>
      <c r="C4" s="34" t="s">
        <v>11</v>
      </c>
      <c r="D4" s="34" t="s">
        <v>9</v>
      </c>
      <c r="E4" s="34" t="s">
        <v>85</v>
      </c>
      <c r="F4" s="34" t="s">
        <v>86</v>
      </c>
      <c r="G4" s="34" t="s">
        <v>10</v>
      </c>
      <c r="AN4"/>
      <c r="AO4"/>
    </row>
    <row r="5" spans="1:41" s="1" customFormat="1" ht="409.6" x14ac:dyDescent="0.3">
      <c r="A5" s="37">
        <v>1</v>
      </c>
      <c r="B5" s="43" t="s">
        <v>167</v>
      </c>
      <c r="C5" s="43" t="s">
        <v>168</v>
      </c>
      <c r="D5" s="35" t="s">
        <v>224</v>
      </c>
      <c r="E5" s="55" t="s">
        <v>251</v>
      </c>
      <c r="F5" s="35" t="s">
        <v>258</v>
      </c>
      <c r="G5" s="33"/>
      <c r="AN5"/>
      <c r="AO5"/>
    </row>
    <row r="6" spans="1:41" s="1" customFormat="1" ht="31.5" customHeight="1" x14ac:dyDescent="0.3">
      <c r="A6" s="37">
        <v>2</v>
      </c>
      <c r="B6" s="43" t="s">
        <v>259</v>
      </c>
      <c r="C6" s="43" t="s">
        <v>260</v>
      </c>
      <c r="D6" s="35" t="s">
        <v>261</v>
      </c>
      <c r="E6" s="55" t="s">
        <v>252</v>
      </c>
      <c r="F6" s="35" t="s">
        <v>262</v>
      </c>
      <c r="G6" s="33"/>
      <c r="AN6"/>
      <c r="AO6"/>
    </row>
  </sheetData>
  <mergeCells count="2">
    <mergeCell ref="A1:G2"/>
    <mergeCell ref="A3:G3"/>
  </mergeCells>
  <pageMargins left="0.7" right="0.63541666666666663"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S53"/>
  <sheetViews>
    <sheetView showGridLines="0" showWhiteSpace="0" view="pageLayout" zoomScale="98" zoomScaleNormal="100" zoomScaleSheetLayoutView="100" zoomScalePageLayoutView="98" workbookViewId="0">
      <selection activeCell="D25" sqref="D25:G25"/>
    </sheetView>
  </sheetViews>
  <sheetFormatPr defaultColWidth="9.109375" defaultRowHeight="14.4" x14ac:dyDescent="0.3"/>
  <cols>
    <col min="1" max="1" width="13.6640625" style="1" customWidth="1"/>
    <col min="2" max="2" width="9.5546875" style="1" customWidth="1"/>
    <col min="3" max="3" width="9.88671875" style="1" customWidth="1"/>
    <col min="4" max="6" width="9.109375" style="1"/>
    <col min="7" max="7" width="10.88671875" style="1" customWidth="1"/>
    <col min="8" max="8" width="13.33203125" style="1" customWidth="1"/>
    <col min="9" max="9" width="8.44140625" style="1" customWidth="1"/>
    <col min="10" max="10" width="11.33203125" style="1" customWidth="1"/>
    <col min="11" max="22" width="9.109375" style="1"/>
    <col min="23" max="23" width="11" style="1" customWidth="1"/>
    <col min="24" max="43" width="9.109375" style="1"/>
    <col min="46" max="262" width="9.109375" style="1"/>
    <col min="263" max="263" width="14.5546875" style="1" customWidth="1"/>
    <col min="264" max="264" width="15.5546875" style="1" customWidth="1"/>
    <col min="265" max="265" width="16.5546875" style="1" customWidth="1"/>
    <col min="266" max="266" width="11.33203125" style="1" customWidth="1"/>
    <col min="267" max="278" width="9.109375" style="1"/>
    <col min="279" max="279" width="11" style="1" customWidth="1"/>
    <col min="280" max="518" width="9.109375" style="1"/>
    <col min="519" max="519" width="14.5546875" style="1" customWidth="1"/>
    <col min="520" max="520" width="15.5546875" style="1" customWidth="1"/>
    <col min="521" max="521" width="16.5546875" style="1" customWidth="1"/>
    <col min="522" max="522" width="11.33203125" style="1" customWidth="1"/>
    <col min="523" max="534" width="9.109375" style="1"/>
    <col min="535" max="535" width="11" style="1" customWidth="1"/>
    <col min="536" max="774" width="9.109375" style="1"/>
    <col min="775" max="775" width="14.5546875" style="1" customWidth="1"/>
    <col min="776" max="776" width="15.5546875" style="1" customWidth="1"/>
    <col min="777" max="777" width="16.5546875" style="1" customWidth="1"/>
    <col min="778" max="778" width="11.33203125" style="1" customWidth="1"/>
    <col min="779" max="790" width="9.109375" style="1"/>
    <col min="791" max="791" width="11" style="1" customWidth="1"/>
    <col min="792" max="1030" width="9.109375" style="1"/>
    <col min="1031" max="1031" width="14.5546875" style="1" customWidth="1"/>
    <col min="1032" max="1032" width="15.5546875" style="1" customWidth="1"/>
    <col min="1033" max="1033" width="16.5546875" style="1" customWidth="1"/>
    <col min="1034" max="1034" width="11.33203125" style="1" customWidth="1"/>
    <col min="1035" max="1046" width="9.109375" style="1"/>
    <col min="1047" max="1047" width="11" style="1" customWidth="1"/>
    <col min="1048" max="1286" width="9.109375" style="1"/>
    <col min="1287" max="1287" width="14.5546875" style="1" customWidth="1"/>
    <col min="1288" max="1288" width="15.5546875" style="1" customWidth="1"/>
    <col min="1289" max="1289" width="16.5546875" style="1" customWidth="1"/>
    <col min="1290" max="1290" width="11.33203125" style="1" customWidth="1"/>
    <col min="1291" max="1302" width="9.109375" style="1"/>
    <col min="1303" max="1303" width="11" style="1" customWidth="1"/>
    <col min="1304" max="1542" width="9.109375" style="1"/>
    <col min="1543" max="1543" width="14.5546875" style="1" customWidth="1"/>
    <col min="1544" max="1544" width="15.5546875" style="1" customWidth="1"/>
    <col min="1545" max="1545" width="16.5546875" style="1" customWidth="1"/>
    <col min="1546" max="1546" width="11.33203125" style="1" customWidth="1"/>
    <col min="1547" max="1558" width="9.109375" style="1"/>
    <col min="1559" max="1559" width="11" style="1" customWidth="1"/>
    <col min="1560" max="1798" width="9.109375" style="1"/>
    <col min="1799" max="1799" width="14.5546875" style="1" customWidth="1"/>
    <col min="1800" max="1800" width="15.5546875" style="1" customWidth="1"/>
    <col min="1801" max="1801" width="16.5546875" style="1" customWidth="1"/>
    <col min="1802" max="1802" width="11.33203125" style="1" customWidth="1"/>
    <col min="1803" max="1814" width="9.109375" style="1"/>
    <col min="1815" max="1815" width="11" style="1" customWidth="1"/>
    <col min="1816" max="2054" width="9.109375" style="1"/>
    <col min="2055" max="2055" width="14.5546875" style="1" customWidth="1"/>
    <col min="2056" max="2056" width="15.5546875" style="1" customWidth="1"/>
    <col min="2057" max="2057" width="16.5546875" style="1" customWidth="1"/>
    <col min="2058" max="2058" width="11.33203125" style="1" customWidth="1"/>
    <col min="2059" max="2070" width="9.109375" style="1"/>
    <col min="2071" max="2071" width="11" style="1" customWidth="1"/>
    <col min="2072" max="2310" width="9.109375" style="1"/>
    <col min="2311" max="2311" width="14.5546875" style="1" customWidth="1"/>
    <col min="2312" max="2312" width="15.5546875" style="1" customWidth="1"/>
    <col min="2313" max="2313" width="16.5546875" style="1" customWidth="1"/>
    <col min="2314" max="2314" width="11.33203125" style="1" customWidth="1"/>
    <col min="2315" max="2326" width="9.109375" style="1"/>
    <col min="2327" max="2327" width="11" style="1" customWidth="1"/>
    <col min="2328" max="2566" width="9.109375" style="1"/>
    <col min="2567" max="2567" width="14.5546875" style="1" customWidth="1"/>
    <col min="2568" max="2568" width="15.5546875" style="1" customWidth="1"/>
    <col min="2569" max="2569" width="16.5546875" style="1" customWidth="1"/>
    <col min="2570" max="2570" width="11.33203125" style="1" customWidth="1"/>
    <col min="2571" max="2582" width="9.109375" style="1"/>
    <col min="2583" max="2583" width="11" style="1" customWidth="1"/>
    <col min="2584" max="2822" width="9.109375" style="1"/>
    <col min="2823" max="2823" width="14.5546875" style="1" customWidth="1"/>
    <col min="2824" max="2824" width="15.5546875" style="1" customWidth="1"/>
    <col min="2825" max="2825" width="16.5546875" style="1" customWidth="1"/>
    <col min="2826" max="2826" width="11.33203125" style="1" customWidth="1"/>
    <col min="2827" max="2838" width="9.109375" style="1"/>
    <col min="2839" max="2839" width="11" style="1" customWidth="1"/>
    <col min="2840" max="3078" width="9.109375" style="1"/>
    <col min="3079" max="3079" width="14.5546875" style="1" customWidth="1"/>
    <col min="3080" max="3080" width="15.5546875" style="1" customWidth="1"/>
    <col min="3081" max="3081" width="16.5546875" style="1" customWidth="1"/>
    <col min="3082" max="3082" width="11.33203125" style="1" customWidth="1"/>
    <col min="3083" max="3094" width="9.109375" style="1"/>
    <col min="3095" max="3095" width="11" style="1" customWidth="1"/>
    <col min="3096" max="3334" width="9.109375" style="1"/>
    <col min="3335" max="3335" width="14.5546875" style="1" customWidth="1"/>
    <col min="3336" max="3336" width="15.5546875" style="1" customWidth="1"/>
    <col min="3337" max="3337" width="16.5546875" style="1" customWidth="1"/>
    <col min="3338" max="3338" width="11.33203125" style="1" customWidth="1"/>
    <col min="3339" max="3350" width="9.109375" style="1"/>
    <col min="3351" max="3351" width="11" style="1" customWidth="1"/>
    <col min="3352" max="3590" width="9.109375" style="1"/>
    <col min="3591" max="3591" width="14.5546875" style="1" customWidth="1"/>
    <col min="3592" max="3592" width="15.5546875" style="1" customWidth="1"/>
    <col min="3593" max="3593" width="16.5546875" style="1" customWidth="1"/>
    <col min="3594" max="3594" width="11.33203125" style="1" customWidth="1"/>
    <col min="3595" max="3606" width="9.109375" style="1"/>
    <col min="3607" max="3607" width="11" style="1" customWidth="1"/>
    <col min="3608" max="3846" width="9.109375" style="1"/>
    <col min="3847" max="3847" width="14.5546875" style="1" customWidth="1"/>
    <col min="3848" max="3848" width="15.5546875" style="1" customWidth="1"/>
    <col min="3849" max="3849" width="16.5546875" style="1" customWidth="1"/>
    <col min="3850" max="3850" width="11.33203125" style="1" customWidth="1"/>
    <col min="3851" max="3862" width="9.109375" style="1"/>
    <col min="3863" max="3863" width="11" style="1" customWidth="1"/>
    <col min="3864" max="4102" width="9.109375" style="1"/>
    <col min="4103" max="4103" width="14.5546875" style="1" customWidth="1"/>
    <col min="4104" max="4104" width="15.5546875" style="1" customWidth="1"/>
    <col min="4105" max="4105" width="16.5546875" style="1" customWidth="1"/>
    <col min="4106" max="4106" width="11.33203125" style="1" customWidth="1"/>
    <col min="4107" max="4118" width="9.109375" style="1"/>
    <col min="4119" max="4119" width="11" style="1" customWidth="1"/>
    <col min="4120" max="4358" width="9.109375" style="1"/>
    <col min="4359" max="4359" width="14.5546875" style="1" customWidth="1"/>
    <col min="4360" max="4360" width="15.5546875" style="1" customWidth="1"/>
    <col min="4361" max="4361" width="16.5546875" style="1" customWidth="1"/>
    <col min="4362" max="4362" width="11.33203125" style="1" customWidth="1"/>
    <col min="4363" max="4374" width="9.109375" style="1"/>
    <col min="4375" max="4375" width="11" style="1" customWidth="1"/>
    <col min="4376" max="4614" width="9.109375" style="1"/>
    <col min="4615" max="4615" width="14.5546875" style="1" customWidth="1"/>
    <col min="4616" max="4616" width="15.5546875" style="1" customWidth="1"/>
    <col min="4617" max="4617" width="16.5546875" style="1" customWidth="1"/>
    <col min="4618" max="4618" width="11.33203125" style="1" customWidth="1"/>
    <col min="4619" max="4630" width="9.109375" style="1"/>
    <col min="4631" max="4631" width="11" style="1" customWidth="1"/>
    <col min="4632" max="4870" width="9.109375" style="1"/>
    <col min="4871" max="4871" width="14.5546875" style="1" customWidth="1"/>
    <col min="4872" max="4872" width="15.5546875" style="1" customWidth="1"/>
    <col min="4873" max="4873" width="16.5546875" style="1" customWidth="1"/>
    <col min="4874" max="4874" width="11.33203125" style="1" customWidth="1"/>
    <col min="4875" max="4886" width="9.109375" style="1"/>
    <col min="4887" max="4887" width="11" style="1" customWidth="1"/>
    <col min="4888" max="5126" width="9.109375" style="1"/>
    <col min="5127" max="5127" width="14.5546875" style="1" customWidth="1"/>
    <col min="5128" max="5128" width="15.5546875" style="1" customWidth="1"/>
    <col min="5129" max="5129" width="16.5546875" style="1" customWidth="1"/>
    <col min="5130" max="5130" width="11.33203125" style="1" customWidth="1"/>
    <col min="5131" max="5142" width="9.109375" style="1"/>
    <col min="5143" max="5143" width="11" style="1" customWidth="1"/>
    <col min="5144" max="5382" width="9.109375" style="1"/>
    <col min="5383" max="5383" width="14.5546875" style="1" customWidth="1"/>
    <col min="5384" max="5384" width="15.5546875" style="1" customWidth="1"/>
    <col min="5385" max="5385" width="16.5546875" style="1" customWidth="1"/>
    <col min="5386" max="5386" width="11.33203125" style="1" customWidth="1"/>
    <col min="5387" max="5398" width="9.109375" style="1"/>
    <col min="5399" max="5399" width="11" style="1" customWidth="1"/>
    <col min="5400" max="5638" width="9.109375" style="1"/>
    <col min="5639" max="5639" width="14.5546875" style="1" customWidth="1"/>
    <col min="5640" max="5640" width="15.5546875" style="1" customWidth="1"/>
    <col min="5641" max="5641" width="16.5546875" style="1" customWidth="1"/>
    <col min="5642" max="5642" width="11.33203125" style="1" customWidth="1"/>
    <col min="5643" max="5654" width="9.109375" style="1"/>
    <col min="5655" max="5655" width="11" style="1" customWidth="1"/>
    <col min="5656" max="5894" width="9.109375" style="1"/>
    <col min="5895" max="5895" width="14.5546875" style="1" customWidth="1"/>
    <col min="5896" max="5896" width="15.5546875" style="1" customWidth="1"/>
    <col min="5897" max="5897" width="16.5546875" style="1" customWidth="1"/>
    <col min="5898" max="5898" width="11.33203125" style="1" customWidth="1"/>
    <col min="5899" max="5910" width="9.109375" style="1"/>
    <col min="5911" max="5911" width="11" style="1" customWidth="1"/>
    <col min="5912" max="6150" width="9.109375" style="1"/>
    <col min="6151" max="6151" width="14.5546875" style="1" customWidth="1"/>
    <col min="6152" max="6152" width="15.5546875" style="1" customWidth="1"/>
    <col min="6153" max="6153" width="16.5546875" style="1" customWidth="1"/>
    <col min="6154" max="6154" width="11.33203125" style="1" customWidth="1"/>
    <col min="6155" max="6166" width="9.109375" style="1"/>
    <col min="6167" max="6167" width="11" style="1" customWidth="1"/>
    <col min="6168" max="6406" width="9.109375" style="1"/>
    <col min="6407" max="6407" width="14.5546875" style="1" customWidth="1"/>
    <col min="6408" max="6408" width="15.5546875" style="1" customWidth="1"/>
    <col min="6409" max="6409" width="16.5546875" style="1" customWidth="1"/>
    <col min="6410" max="6410" width="11.33203125" style="1" customWidth="1"/>
    <col min="6411" max="6422" width="9.109375" style="1"/>
    <col min="6423" max="6423" width="11" style="1" customWidth="1"/>
    <col min="6424" max="6662" width="9.109375" style="1"/>
    <col min="6663" max="6663" width="14.5546875" style="1" customWidth="1"/>
    <col min="6664" max="6664" width="15.5546875" style="1" customWidth="1"/>
    <col min="6665" max="6665" width="16.5546875" style="1" customWidth="1"/>
    <col min="6666" max="6666" width="11.33203125" style="1" customWidth="1"/>
    <col min="6667" max="6678" width="9.109375" style="1"/>
    <col min="6679" max="6679" width="11" style="1" customWidth="1"/>
    <col min="6680" max="6918" width="9.109375" style="1"/>
    <col min="6919" max="6919" width="14.5546875" style="1" customWidth="1"/>
    <col min="6920" max="6920" width="15.5546875" style="1" customWidth="1"/>
    <col min="6921" max="6921" width="16.5546875" style="1" customWidth="1"/>
    <col min="6922" max="6922" width="11.33203125" style="1" customWidth="1"/>
    <col min="6923" max="6934" width="9.109375" style="1"/>
    <col min="6935" max="6935" width="11" style="1" customWidth="1"/>
    <col min="6936" max="7174" width="9.109375" style="1"/>
    <col min="7175" max="7175" width="14.5546875" style="1" customWidth="1"/>
    <col min="7176" max="7176" width="15.5546875" style="1" customWidth="1"/>
    <col min="7177" max="7177" width="16.5546875" style="1" customWidth="1"/>
    <col min="7178" max="7178" width="11.33203125" style="1" customWidth="1"/>
    <col min="7179" max="7190" width="9.109375" style="1"/>
    <col min="7191" max="7191" width="11" style="1" customWidth="1"/>
    <col min="7192" max="7430" width="9.109375" style="1"/>
    <col min="7431" max="7431" width="14.5546875" style="1" customWidth="1"/>
    <col min="7432" max="7432" width="15.5546875" style="1" customWidth="1"/>
    <col min="7433" max="7433" width="16.5546875" style="1" customWidth="1"/>
    <col min="7434" max="7434" width="11.33203125" style="1" customWidth="1"/>
    <col min="7435" max="7446" width="9.109375" style="1"/>
    <col min="7447" max="7447" width="11" style="1" customWidth="1"/>
    <col min="7448" max="7686" width="9.109375" style="1"/>
    <col min="7687" max="7687" width="14.5546875" style="1" customWidth="1"/>
    <col min="7688" max="7688" width="15.5546875" style="1" customWidth="1"/>
    <col min="7689" max="7689" width="16.5546875" style="1" customWidth="1"/>
    <col min="7690" max="7690" width="11.33203125" style="1" customWidth="1"/>
    <col min="7691" max="7702" width="9.109375" style="1"/>
    <col min="7703" max="7703" width="11" style="1" customWidth="1"/>
    <col min="7704" max="7942" width="9.109375" style="1"/>
    <col min="7943" max="7943" width="14.5546875" style="1" customWidth="1"/>
    <col min="7944" max="7944" width="15.5546875" style="1" customWidth="1"/>
    <col min="7945" max="7945" width="16.5546875" style="1" customWidth="1"/>
    <col min="7946" max="7946" width="11.33203125" style="1" customWidth="1"/>
    <col min="7947" max="7958" width="9.109375" style="1"/>
    <col min="7959" max="7959" width="11" style="1" customWidth="1"/>
    <col min="7960" max="8198" width="9.109375" style="1"/>
    <col min="8199" max="8199" width="14.5546875" style="1" customWidth="1"/>
    <col min="8200" max="8200" width="15.5546875" style="1" customWidth="1"/>
    <col min="8201" max="8201" width="16.5546875" style="1" customWidth="1"/>
    <col min="8202" max="8202" width="11.33203125" style="1" customWidth="1"/>
    <col min="8203" max="8214" width="9.109375" style="1"/>
    <col min="8215" max="8215" width="11" style="1" customWidth="1"/>
    <col min="8216" max="8454" width="9.109375" style="1"/>
    <col min="8455" max="8455" width="14.5546875" style="1" customWidth="1"/>
    <col min="8456" max="8456" width="15.5546875" style="1" customWidth="1"/>
    <col min="8457" max="8457" width="16.5546875" style="1" customWidth="1"/>
    <col min="8458" max="8458" width="11.33203125" style="1" customWidth="1"/>
    <col min="8459" max="8470" width="9.109375" style="1"/>
    <col min="8471" max="8471" width="11" style="1" customWidth="1"/>
    <col min="8472" max="8710" width="9.109375" style="1"/>
    <col min="8711" max="8711" width="14.5546875" style="1" customWidth="1"/>
    <col min="8712" max="8712" width="15.5546875" style="1" customWidth="1"/>
    <col min="8713" max="8713" width="16.5546875" style="1" customWidth="1"/>
    <col min="8714" max="8714" width="11.33203125" style="1" customWidth="1"/>
    <col min="8715" max="8726" width="9.109375" style="1"/>
    <col min="8727" max="8727" width="11" style="1" customWidth="1"/>
    <col min="8728" max="8966" width="9.109375" style="1"/>
    <col min="8967" max="8967" width="14.5546875" style="1" customWidth="1"/>
    <col min="8968" max="8968" width="15.5546875" style="1" customWidth="1"/>
    <col min="8969" max="8969" width="16.5546875" style="1" customWidth="1"/>
    <col min="8970" max="8970" width="11.33203125" style="1" customWidth="1"/>
    <col min="8971" max="8982" width="9.109375" style="1"/>
    <col min="8983" max="8983" width="11" style="1" customWidth="1"/>
    <col min="8984" max="9222" width="9.109375" style="1"/>
    <col min="9223" max="9223" width="14.5546875" style="1" customWidth="1"/>
    <col min="9224" max="9224" width="15.5546875" style="1" customWidth="1"/>
    <col min="9225" max="9225" width="16.5546875" style="1" customWidth="1"/>
    <col min="9226" max="9226" width="11.33203125" style="1" customWidth="1"/>
    <col min="9227" max="9238" width="9.109375" style="1"/>
    <col min="9239" max="9239" width="11" style="1" customWidth="1"/>
    <col min="9240" max="9478" width="9.109375" style="1"/>
    <col min="9479" max="9479" width="14.5546875" style="1" customWidth="1"/>
    <col min="9480" max="9480" width="15.5546875" style="1" customWidth="1"/>
    <col min="9481" max="9481" width="16.5546875" style="1" customWidth="1"/>
    <col min="9482" max="9482" width="11.33203125" style="1" customWidth="1"/>
    <col min="9483" max="9494" width="9.109375" style="1"/>
    <col min="9495" max="9495" width="11" style="1" customWidth="1"/>
    <col min="9496" max="9734" width="9.109375" style="1"/>
    <col min="9735" max="9735" width="14.5546875" style="1" customWidth="1"/>
    <col min="9736" max="9736" width="15.5546875" style="1" customWidth="1"/>
    <col min="9737" max="9737" width="16.5546875" style="1" customWidth="1"/>
    <col min="9738" max="9738" width="11.33203125" style="1" customWidth="1"/>
    <col min="9739" max="9750" width="9.109375" style="1"/>
    <col min="9751" max="9751" width="11" style="1" customWidth="1"/>
    <col min="9752" max="9990" width="9.109375" style="1"/>
    <col min="9991" max="9991" width="14.5546875" style="1" customWidth="1"/>
    <col min="9992" max="9992" width="15.5546875" style="1" customWidth="1"/>
    <col min="9993" max="9993" width="16.5546875" style="1" customWidth="1"/>
    <col min="9994" max="9994" width="11.33203125" style="1" customWidth="1"/>
    <col min="9995" max="10006" width="9.109375" style="1"/>
    <col min="10007" max="10007" width="11" style="1" customWidth="1"/>
    <col min="10008" max="10246" width="9.109375" style="1"/>
    <col min="10247" max="10247" width="14.5546875" style="1" customWidth="1"/>
    <col min="10248" max="10248" width="15.5546875" style="1" customWidth="1"/>
    <col min="10249" max="10249" width="16.5546875" style="1" customWidth="1"/>
    <col min="10250" max="10250" width="11.33203125" style="1" customWidth="1"/>
    <col min="10251" max="10262" width="9.109375" style="1"/>
    <col min="10263" max="10263" width="11" style="1" customWidth="1"/>
    <col min="10264" max="10502" width="9.109375" style="1"/>
    <col min="10503" max="10503" width="14.5546875" style="1" customWidth="1"/>
    <col min="10504" max="10504" width="15.5546875" style="1" customWidth="1"/>
    <col min="10505" max="10505" width="16.5546875" style="1" customWidth="1"/>
    <col min="10506" max="10506" width="11.33203125" style="1" customWidth="1"/>
    <col min="10507" max="10518" width="9.109375" style="1"/>
    <col min="10519" max="10519" width="11" style="1" customWidth="1"/>
    <col min="10520" max="10758" width="9.109375" style="1"/>
    <col min="10759" max="10759" width="14.5546875" style="1" customWidth="1"/>
    <col min="10760" max="10760" width="15.5546875" style="1" customWidth="1"/>
    <col min="10761" max="10761" width="16.5546875" style="1" customWidth="1"/>
    <col min="10762" max="10762" width="11.33203125" style="1" customWidth="1"/>
    <col min="10763" max="10774" width="9.109375" style="1"/>
    <col min="10775" max="10775" width="11" style="1" customWidth="1"/>
    <col min="10776" max="11014" width="9.109375" style="1"/>
    <col min="11015" max="11015" width="14.5546875" style="1" customWidth="1"/>
    <col min="11016" max="11016" width="15.5546875" style="1" customWidth="1"/>
    <col min="11017" max="11017" width="16.5546875" style="1" customWidth="1"/>
    <col min="11018" max="11018" width="11.33203125" style="1" customWidth="1"/>
    <col min="11019" max="11030" width="9.109375" style="1"/>
    <col min="11031" max="11031" width="11" style="1" customWidth="1"/>
    <col min="11032" max="11270" width="9.109375" style="1"/>
    <col min="11271" max="11271" width="14.5546875" style="1" customWidth="1"/>
    <col min="11272" max="11272" width="15.5546875" style="1" customWidth="1"/>
    <col min="11273" max="11273" width="16.5546875" style="1" customWidth="1"/>
    <col min="11274" max="11274" width="11.33203125" style="1" customWidth="1"/>
    <col min="11275" max="11286" width="9.109375" style="1"/>
    <col min="11287" max="11287" width="11" style="1" customWidth="1"/>
    <col min="11288" max="11526" width="9.109375" style="1"/>
    <col min="11527" max="11527" width="14.5546875" style="1" customWidth="1"/>
    <col min="11528" max="11528" width="15.5546875" style="1" customWidth="1"/>
    <col min="11529" max="11529" width="16.5546875" style="1" customWidth="1"/>
    <col min="11530" max="11530" width="11.33203125" style="1" customWidth="1"/>
    <col min="11531" max="11542" width="9.109375" style="1"/>
    <col min="11543" max="11543" width="11" style="1" customWidth="1"/>
    <col min="11544" max="11782" width="9.109375" style="1"/>
    <col min="11783" max="11783" width="14.5546875" style="1" customWidth="1"/>
    <col min="11784" max="11784" width="15.5546875" style="1" customWidth="1"/>
    <col min="11785" max="11785" width="16.5546875" style="1" customWidth="1"/>
    <col min="11786" max="11786" width="11.33203125" style="1" customWidth="1"/>
    <col min="11787" max="11798" width="9.109375" style="1"/>
    <col min="11799" max="11799" width="11" style="1" customWidth="1"/>
    <col min="11800" max="12038" width="9.109375" style="1"/>
    <col min="12039" max="12039" width="14.5546875" style="1" customWidth="1"/>
    <col min="12040" max="12040" width="15.5546875" style="1" customWidth="1"/>
    <col min="12041" max="12041" width="16.5546875" style="1" customWidth="1"/>
    <col min="12042" max="12042" width="11.33203125" style="1" customWidth="1"/>
    <col min="12043" max="12054" width="9.109375" style="1"/>
    <col min="12055" max="12055" width="11" style="1" customWidth="1"/>
    <col min="12056" max="12294" width="9.109375" style="1"/>
    <col min="12295" max="12295" width="14.5546875" style="1" customWidth="1"/>
    <col min="12296" max="12296" width="15.5546875" style="1" customWidth="1"/>
    <col min="12297" max="12297" width="16.5546875" style="1" customWidth="1"/>
    <col min="12298" max="12298" width="11.33203125" style="1" customWidth="1"/>
    <col min="12299" max="12310" width="9.109375" style="1"/>
    <col min="12311" max="12311" width="11" style="1" customWidth="1"/>
    <col min="12312" max="12550" width="9.109375" style="1"/>
    <col min="12551" max="12551" width="14.5546875" style="1" customWidth="1"/>
    <col min="12552" max="12552" width="15.5546875" style="1" customWidth="1"/>
    <col min="12553" max="12553" width="16.5546875" style="1" customWidth="1"/>
    <col min="12554" max="12554" width="11.33203125" style="1" customWidth="1"/>
    <col min="12555" max="12566" width="9.109375" style="1"/>
    <col min="12567" max="12567" width="11" style="1" customWidth="1"/>
    <col min="12568" max="12806" width="9.109375" style="1"/>
    <col min="12807" max="12807" width="14.5546875" style="1" customWidth="1"/>
    <col min="12808" max="12808" width="15.5546875" style="1" customWidth="1"/>
    <col min="12809" max="12809" width="16.5546875" style="1" customWidth="1"/>
    <col min="12810" max="12810" width="11.33203125" style="1" customWidth="1"/>
    <col min="12811" max="12822" width="9.109375" style="1"/>
    <col min="12823" max="12823" width="11" style="1" customWidth="1"/>
    <col min="12824" max="13062" width="9.109375" style="1"/>
    <col min="13063" max="13063" width="14.5546875" style="1" customWidth="1"/>
    <col min="13064" max="13064" width="15.5546875" style="1" customWidth="1"/>
    <col min="13065" max="13065" width="16.5546875" style="1" customWidth="1"/>
    <col min="13066" max="13066" width="11.33203125" style="1" customWidth="1"/>
    <col min="13067" max="13078" width="9.109375" style="1"/>
    <col min="13079" max="13079" width="11" style="1" customWidth="1"/>
    <col min="13080" max="13318" width="9.109375" style="1"/>
    <col min="13319" max="13319" width="14.5546875" style="1" customWidth="1"/>
    <col min="13320" max="13320" width="15.5546875" style="1" customWidth="1"/>
    <col min="13321" max="13321" width="16.5546875" style="1" customWidth="1"/>
    <col min="13322" max="13322" width="11.33203125" style="1" customWidth="1"/>
    <col min="13323" max="13334" width="9.109375" style="1"/>
    <col min="13335" max="13335" width="11" style="1" customWidth="1"/>
    <col min="13336" max="13574" width="9.109375" style="1"/>
    <col min="13575" max="13575" width="14.5546875" style="1" customWidth="1"/>
    <col min="13576" max="13576" width="15.5546875" style="1" customWidth="1"/>
    <col min="13577" max="13577" width="16.5546875" style="1" customWidth="1"/>
    <col min="13578" max="13578" width="11.33203125" style="1" customWidth="1"/>
    <col min="13579" max="13590" width="9.109375" style="1"/>
    <col min="13591" max="13591" width="11" style="1" customWidth="1"/>
    <col min="13592" max="13830" width="9.109375" style="1"/>
    <col min="13831" max="13831" width="14.5546875" style="1" customWidth="1"/>
    <col min="13832" max="13832" width="15.5546875" style="1" customWidth="1"/>
    <col min="13833" max="13833" width="16.5546875" style="1" customWidth="1"/>
    <col min="13834" max="13834" width="11.33203125" style="1" customWidth="1"/>
    <col min="13835" max="13846" width="9.109375" style="1"/>
    <col min="13847" max="13847" width="11" style="1" customWidth="1"/>
    <col min="13848" max="14086" width="9.109375" style="1"/>
    <col min="14087" max="14087" width="14.5546875" style="1" customWidth="1"/>
    <col min="14088" max="14088" width="15.5546875" style="1" customWidth="1"/>
    <col min="14089" max="14089" width="16.5546875" style="1" customWidth="1"/>
    <col min="14090" max="14090" width="11.33203125" style="1" customWidth="1"/>
    <col min="14091" max="14102" width="9.109375" style="1"/>
    <col min="14103" max="14103" width="11" style="1" customWidth="1"/>
    <col min="14104" max="14342" width="9.109375" style="1"/>
    <col min="14343" max="14343" width="14.5546875" style="1" customWidth="1"/>
    <col min="14344" max="14344" width="15.5546875" style="1" customWidth="1"/>
    <col min="14345" max="14345" width="16.5546875" style="1" customWidth="1"/>
    <col min="14346" max="14346" width="11.33203125" style="1" customWidth="1"/>
    <col min="14347" max="14358" width="9.109375" style="1"/>
    <col min="14359" max="14359" width="11" style="1" customWidth="1"/>
    <col min="14360" max="14598" width="9.109375" style="1"/>
    <col min="14599" max="14599" width="14.5546875" style="1" customWidth="1"/>
    <col min="14600" max="14600" width="15.5546875" style="1" customWidth="1"/>
    <col min="14601" max="14601" width="16.5546875" style="1" customWidth="1"/>
    <col min="14602" max="14602" width="11.33203125" style="1" customWidth="1"/>
    <col min="14603" max="14614" width="9.109375" style="1"/>
    <col min="14615" max="14615" width="11" style="1" customWidth="1"/>
    <col min="14616" max="14854" width="9.109375" style="1"/>
    <col min="14855" max="14855" width="14.5546875" style="1" customWidth="1"/>
    <col min="14856" max="14856" width="15.5546875" style="1" customWidth="1"/>
    <col min="14857" max="14857" width="16.5546875" style="1" customWidth="1"/>
    <col min="14858" max="14858" width="11.33203125" style="1" customWidth="1"/>
    <col min="14859" max="14870" width="9.109375" style="1"/>
    <col min="14871" max="14871" width="11" style="1" customWidth="1"/>
    <col min="14872" max="15110" width="9.109375" style="1"/>
    <col min="15111" max="15111" width="14.5546875" style="1" customWidth="1"/>
    <col min="15112" max="15112" width="15.5546875" style="1" customWidth="1"/>
    <col min="15113" max="15113" width="16.5546875" style="1" customWidth="1"/>
    <col min="15114" max="15114" width="11.33203125" style="1" customWidth="1"/>
    <col min="15115" max="15126" width="9.109375" style="1"/>
    <col min="15127" max="15127" width="11" style="1" customWidth="1"/>
    <col min="15128" max="15366" width="9.109375" style="1"/>
    <col min="15367" max="15367" width="14.5546875" style="1" customWidth="1"/>
    <col min="15368" max="15368" width="15.5546875" style="1" customWidth="1"/>
    <col min="15369" max="15369" width="16.5546875" style="1" customWidth="1"/>
    <col min="15370" max="15370" width="11.33203125" style="1" customWidth="1"/>
    <col min="15371" max="15382" width="9.109375" style="1"/>
    <col min="15383" max="15383" width="11" style="1" customWidth="1"/>
    <col min="15384" max="15622" width="9.109375" style="1"/>
    <col min="15623" max="15623" width="14.5546875" style="1" customWidth="1"/>
    <col min="15624" max="15624" width="15.5546875" style="1" customWidth="1"/>
    <col min="15625" max="15625" width="16.5546875" style="1" customWidth="1"/>
    <col min="15626" max="15626" width="11.33203125" style="1" customWidth="1"/>
    <col min="15627" max="15638" width="9.109375" style="1"/>
    <col min="15639" max="15639" width="11" style="1" customWidth="1"/>
    <col min="15640" max="15878" width="9.109375" style="1"/>
    <col min="15879" max="15879" width="14.5546875" style="1" customWidth="1"/>
    <col min="15880" max="15880" width="15.5546875" style="1" customWidth="1"/>
    <col min="15881" max="15881" width="16.5546875" style="1" customWidth="1"/>
    <col min="15882" max="15882" width="11.33203125" style="1" customWidth="1"/>
    <col min="15883" max="15894" width="9.109375" style="1"/>
    <col min="15895" max="15895" width="11" style="1" customWidth="1"/>
    <col min="15896" max="16134" width="9.109375" style="1"/>
    <col min="16135" max="16135" width="14.5546875" style="1" customWidth="1"/>
    <col min="16136" max="16136" width="15.5546875" style="1" customWidth="1"/>
    <col min="16137" max="16137" width="16.5546875" style="1" customWidth="1"/>
    <col min="16138" max="16138" width="11.33203125" style="1" customWidth="1"/>
    <col min="16139" max="16150" width="9.109375" style="1"/>
    <col min="16151" max="16151" width="11" style="1" customWidth="1"/>
    <col min="16152" max="16384" width="9.109375" style="1"/>
  </cols>
  <sheetData>
    <row r="1" spans="1:45" ht="15" customHeight="1" x14ac:dyDescent="0.3">
      <c r="A1" s="87" t="s">
        <v>155</v>
      </c>
      <c r="B1" s="87"/>
      <c r="C1" s="87"/>
      <c r="D1" s="87"/>
      <c r="E1" s="87"/>
      <c r="F1" s="87"/>
      <c r="G1" s="87"/>
      <c r="H1" s="87"/>
      <c r="I1" s="87"/>
    </row>
    <row r="2" spans="1:45" ht="15" customHeight="1" x14ac:dyDescent="0.3">
      <c r="A2" s="87"/>
      <c r="B2" s="87"/>
      <c r="C2" s="87"/>
      <c r="D2" s="87"/>
      <c r="E2" s="87"/>
      <c r="F2" s="87"/>
      <c r="G2" s="87"/>
      <c r="H2" s="87"/>
      <c r="I2" s="87"/>
    </row>
    <row r="3" spans="1:45" ht="15" customHeight="1" x14ac:dyDescent="0.3">
      <c r="A3" s="87"/>
      <c r="B3" s="87"/>
      <c r="C3" s="87"/>
      <c r="D3" s="87"/>
      <c r="E3" s="87"/>
      <c r="F3" s="87"/>
      <c r="G3" s="87"/>
      <c r="H3" s="87"/>
      <c r="I3" s="87"/>
    </row>
    <row r="4" spans="1:45" ht="15" customHeight="1" x14ac:dyDescent="0.3">
      <c r="A4" s="87"/>
      <c r="B4" s="87"/>
      <c r="C4" s="87"/>
      <c r="D4" s="87"/>
      <c r="E4" s="87"/>
      <c r="F4" s="87"/>
      <c r="G4" s="87"/>
      <c r="H4" s="87"/>
      <c r="I4" s="87"/>
    </row>
    <row r="5" spans="1:45" ht="15" customHeight="1" x14ac:dyDescent="0.3">
      <c r="A5" s="87"/>
      <c r="B5" s="87"/>
      <c r="C5" s="87"/>
      <c r="D5" s="87"/>
      <c r="E5" s="87"/>
      <c r="F5" s="87"/>
      <c r="G5" s="87"/>
      <c r="H5" s="87"/>
      <c r="I5" s="87"/>
    </row>
    <row r="6" spans="1:45" ht="15" customHeight="1" x14ac:dyDescent="0.3">
      <c r="A6" s="87"/>
      <c r="B6" s="87"/>
      <c r="C6" s="87"/>
      <c r="D6" s="87"/>
      <c r="E6" s="87"/>
      <c r="F6" s="87"/>
      <c r="G6" s="87"/>
      <c r="H6" s="87"/>
      <c r="I6" s="87"/>
    </row>
    <row r="7" spans="1:45" ht="15" customHeight="1" x14ac:dyDescent="0.3">
      <c r="A7" s="87"/>
      <c r="B7" s="87"/>
      <c r="C7" s="87"/>
      <c r="D7" s="87"/>
      <c r="E7" s="87"/>
      <c r="F7" s="87"/>
      <c r="G7" s="87"/>
      <c r="H7" s="87"/>
      <c r="I7" s="87"/>
    </row>
    <row r="8" spans="1:45" ht="15" customHeight="1" x14ac:dyDescent="0.3">
      <c r="A8" s="87"/>
      <c r="B8" s="87"/>
      <c r="C8" s="87"/>
      <c r="D8" s="87"/>
      <c r="E8" s="87"/>
      <c r="F8" s="87"/>
      <c r="G8" s="87"/>
      <c r="H8" s="87"/>
      <c r="I8" s="87"/>
    </row>
    <row r="9" spans="1:45" ht="15" customHeight="1" x14ac:dyDescent="0.3">
      <c r="A9" s="87"/>
      <c r="B9" s="87"/>
      <c r="C9" s="87"/>
      <c r="D9" s="87"/>
      <c r="E9" s="87"/>
      <c r="F9" s="87"/>
      <c r="G9" s="87"/>
      <c r="H9" s="87"/>
      <c r="I9" s="87"/>
    </row>
    <row r="10" spans="1:45" ht="15" customHeight="1" x14ac:dyDescent="0.3">
      <c r="A10" s="87"/>
      <c r="B10" s="87"/>
      <c r="C10" s="87"/>
      <c r="D10" s="87"/>
      <c r="E10" s="87"/>
      <c r="F10" s="87"/>
      <c r="G10" s="87"/>
      <c r="H10" s="87"/>
      <c r="I10" s="87"/>
      <c r="AJ10"/>
      <c r="AK10"/>
      <c r="AR10" s="1"/>
      <c r="AS10" s="1"/>
    </row>
    <row r="11" spans="1:45" ht="15" customHeight="1" x14ac:dyDescent="0.3">
      <c r="A11" s="87"/>
      <c r="B11" s="87"/>
      <c r="C11" s="87"/>
      <c r="D11" s="87"/>
      <c r="E11" s="87"/>
      <c r="F11" s="87"/>
      <c r="G11" s="87"/>
      <c r="H11" s="87"/>
      <c r="I11" s="87"/>
      <c r="AJ11"/>
      <c r="AK11"/>
      <c r="AR11" s="1"/>
      <c r="AS11" s="1"/>
    </row>
    <row r="12" spans="1:45" ht="24.75" customHeight="1" x14ac:dyDescent="0.3">
      <c r="A12" s="87"/>
      <c r="B12" s="87"/>
      <c r="C12" s="87"/>
      <c r="D12" s="87"/>
      <c r="E12" s="87"/>
      <c r="F12" s="87"/>
      <c r="G12" s="87"/>
      <c r="H12" s="87"/>
      <c r="I12" s="87"/>
      <c r="AJ12"/>
      <c r="AK12"/>
      <c r="AR12" s="1"/>
      <c r="AS12" s="1"/>
    </row>
    <row r="13" spans="1:45" ht="15" customHeight="1" x14ac:dyDescent="0.3">
      <c r="A13" s="87"/>
      <c r="B13" s="87"/>
      <c r="C13" s="87"/>
      <c r="D13" s="87"/>
      <c r="E13" s="87"/>
      <c r="F13" s="87"/>
      <c r="G13" s="87"/>
      <c r="H13" s="87"/>
      <c r="I13" s="87"/>
      <c r="AJ13"/>
      <c r="AK13"/>
      <c r="AR13" s="1"/>
      <c r="AS13" s="1"/>
    </row>
    <row r="14" spans="1:45" ht="15" customHeight="1" x14ac:dyDescent="0.3">
      <c r="A14" s="87"/>
      <c r="B14" s="87"/>
      <c r="C14" s="87"/>
      <c r="D14" s="87"/>
      <c r="E14" s="87"/>
      <c r="F14" s="87"/>
      <c r="G14" s="87"/>
      <c r="H14" s="87"/>
      <c r="I14" s="87"/>
      <c r="AJ14"/>
      <c r="AK14"/>
      <c r="AR14" s="1"/>
      <c r="AS14" s="1"/>
    </row>
    <row r="15" spans="1:45" ht="15" customHeight="1" x14ac:dyDescent="0.3">
      <c r="A15" s="87"/>
      <c r="B15" s="87"/>
      <c r="C15" s="87"/>
      <c r="D15" s="87"/>
      <c r="E15" s="87"/>
      <c r="F15" s="87"/>
      <c r="G15" s="87"/>
      <c r="H15" s="87"/>
      <c r="I15" s="87"/>
    </row>
    <row r="16" spans="1:45" ht="15" customHeight="1" x14ac:dyDescent="0.3">
      <c r="A16" s="87"/>
      <c r="B16" s="87"/>
      <c r="C16" s="87"/>
      <c r="D16" s="87"/>
      <c r="E16" s="87"/>
      <c r="F16" s="87"/>
      <c r="G16" s="87"/>
      <c r="H16" s="87"/>
      <c r="I16" s="87"/>
    </row>
    <row r="17" spans="1:10" ht="15" customHeight="1" x14ac:dyDescent="0.3">
      <c r="A17" s="87"/>
      <c r="B17" s="87"/>
      <c r="C17" s="87"/>
      <c r="D17" s="87"/>
      <c r="E17" s="87"/>
      <c r="F17" s="87"/>
      <c r="G17" s="87"/>
      <c r="H17" s="87"/>
      <c r="I17" s="87"/>
    </row>
    <row r="18" spans="1:10" ht="15" customHeight="1" x14ac:dyDescent="0.3">
      <c r="A18" s="87"/>
      <c r="B18" s="87"/>
      <c r="C18" s="87"/>
      <c r="D18" s="87"/>
      <c r="E18" s="87"/>
      <c r="F18" s="87"/>
      <c r="G18" s="87"/>
      <c r="H18" s="87"/>
      <c r="I18" s="87"/>
    </row>
    <row r="19" spans="1:10" ht="15" customHeight="1" x14ac:dyDescent="0.3">
      <c r="A19" s="87"/>
      <c r="B19" s="87"/>
      <c r="C19" s="87"/>
      <c r="D19" s="87"/>
      <c r="E19" s="87"/>
      <c r="F19" s="87"/>
      <c r="G19" s="87"/>
      <c r="H19" s="87"/>
      <c r="I19" s="87"/>
    </row>
    <row r="20" spans="1:10" ht="15" customHeight="1" x14ac:dyDescent="0.3">
      <c r="A20" s="87"/>
      <c r="B20" s="87"/>
      <c r="C20" s="87"/>
      <c r="D20" s="87"/>
      <c r="E20" s="87"/>
      <c r="F20" s="87"/>
      <c r="G20" s="87"/>
      <c r="H20" s="87"/>
      <c r="I20" s="87"/>
    </row>
    <row r="21" spans="1:10" ht="15" customHeight="1" x14ac:dyDescent="0.3">
      <c r="A21" s="87"/>
      <c r="B21" s="87"/>
      <c r="C21" s="87"/>
      <c r="D21" s="87"/>
      <c r="E21" s="87"/>
      <c r="F21" s="87"/>
      <c r="G21" s="87"/>
      <c r="H21" s="87"/>
      <c r="I21" s="87"/>
    </row>
    <row r="22" spans="1:10" ht="15" customHeight="1" x14ac:dyDescent="0.3">
      <c r="A22" s="87"/>
      <c r="B22" s="87"/>
      <c r="C22" s="87"/>
      <c r="D22" s="87"/>
      <c r="E22" s="87"/>
      <c r="F22" s="87"/>
      <c r="G22" s="87"/>
      <c r="H22" s="87"/>
      <c r="I22" s="87"/>
    </row>
    <row r="23" spans="1:10" ht="15" customHeight="1" x14ac:dyDescent="0.3">
      <c r="A23" s="88" t="s">
        <v>160</v>
      </c>
      <c r="B23" s="88"/>
      <c r="C23" s="88"/>
      <c r="D23" s="88"/>
      <c r="E23" s="88"/>
      <c r="F23" s="88"/>
      <c r="G23" s="88"/>
      <c r="H23" s="88"/>
      <c r="I23" s="88"/>
    </row>
    <row r="24" spans="1:10" ht="15" customHeight="1" x14ac:dyDescent="0.3">
      <c r="A24" s="88"/>
      <c r="B24" s="88"/>
      <c r="C24" s="88"/>
      <c r="D24" s="88"/>
      <c r="E24" s="88"/>
      <c r="F24" s="88"/>
      <c r="G24" s="88"/>
      <c r="H24" s="88"/>
      <c r="I24" s="88"/>
    </row>
    <row r="25" spans="1:10" ht="15" customHeight="1" x14ac:dyDescent="0.45">
      <c r="A25" s="40"/>
      <c r="B25" s="89" t="s">
        <v>157</v>
      </c>
      <c r="C25" s="89"/>
      <c r="D25" s="89" t="s">
        <v>156</v>
      </c>
      <c r="E25" s="89"/>
      <c r="F25" s="89"/>
      <c r="G25" s="89"/>
      <c r="H25" s="41"/>
      <c r="I25" s="41"/>
      <c r="J25" s="41"/>
    </row>
    <row r="26" spans="1:10" ht="15" customHeight="1" x14ac:dyDescent="0.45">
      <c r="A26" s="40"/>
      <c r="B26" s="89" t="s">
        <v>159</v>
      </c>
      <c r="C26" s="89"/>
      <c r="D26" s="89" t="s">
        <v>158</v>
      </c>
      <c r="E26" s="89"/>
      <c r="F26" s="89"/>
      <c r="G26" s="89"/>
      <c r="H26" s="41"/>
      <c r="I26" s="41"/>
      <c r="J26" s="41"/>
    </row>
    <row r="27" spans="1:10" ht="15" customHeight="1" x14ac:dyDescent="0.3">
      <c r="A27" s="40"/>
      <c r="B27" s="40"/>
      <c r="C27" s="40"/>
      <c r="D27" s="40"/>
      <c r="E27" s="40"/>
      <c r="F27" s="40"/>
      <c r="G27" s="40"/>
      <c r="H27" s="40"/>
      <c r="I27" s="40"/>
    </row>
    <row r="28" spans="1:10" ht="15" customHeight="1" x14ac:dyDescent="0.3">
      <c r="A28" s="40"/>
      <c r="B28" s="40"/>
      <c r="C28" s="40"/>
      <c r="D28" s="40"/>
      <c r="E28" s="40"/>
      <c r="F28" s="40"/>
      <c r="G28" s="40"/>
      <c r="H28" s="40"/>
      <c r="I28" s="40"/>
    </row>
    <row r="29" spans="1:10" ht="15" customHeight="1" x14ac:dyDescent="0.3">
      <c r="A29" s="40"/>
      <c r="B29" s="40"/>
      <c r="C29" s="40"/>
      <c r="D29" s="40"/>
      <c r="E29" s="40"/>
      <c r="F29" s="40"/>
      <c r="G29" s="40"/>
      <c r="H29" s="40"/>
      <c r="I29" s="40"/>
    </row>
    <row r="30" spans="1:10" ht="15" customHeight="1" x14ac:dyDescent="0.3">
      <c r="A30" s="40"/>
      <c r="B30" s="40"/>
      <c r="C30" s="40"/>
      <c r="D30" s="40"/>
      <c r="E30" s="40"/>
      <c r="F30" s="40"/>
      <c r="G30" s="40"/>
      <c r="H30" s="40"/>
      <c r="I30" s="40"/>
    </row>
    <row r="31" spans="1:10" ht="15" customHeight="1" x14ac:dyDescent="0.3">
      <c r="A31" s="40"/>
      <c r="B31" s="40"/>
      <c r="C31" s="40"/>
      <c r="D31" s="40"/>
      <c r="E31" s="40"/>
      <c r="F31" s="40"/>
      <c r="G31" s="40"/>
      <c r="H31" s="40"/>
      <c r="I31" s="40"/>
    </row>
    <row r="32" spans="1:10" ht="15" customHeight="1" x14ac:dyDescent="0.3">
      <c r="A32" s="40"/>
      <c r="B32" s="40"/>
      <c r="C32" s="40"/>
      <c r="D32" s="40"/>
      <c r="E32" s="40"/>
      <c r="F32" s="40"/>
      <c r="G32" s="40"/>
      <c r="H32" s="40"/>
      <c r="I32" s="40"/>
    </row>
    <row r="33" spans="1:9" ht="15" customHeight="1" x14ac:dyDescent="0.3">
      <c r="A33" s="40"/>
      <c r="B33" s="40"/>
      <c r="C33" s="40"/>
      <c r="D33" s="40"/>
      <c r="E33" s="40"/>
      <c r="F33" s="40"/>
      <c r="G33" s="40"/>
      <c r="H33" s="40"/>
      <c r="I33" s="40"/>
    </row>
    <row r="34" spans="1:9" ht="15" customHeight="1" x14ac:dyDescent="0.3">
      <c r="A34" s="40"/>
      <c r="B34" s="40"/>
      <c r="C34" s="40"/>
      <c r="D34" s="40"/>
      <c r="E34" s="40"/>
      <c r="F34" s="40"/>
      <c r="G34" s="40"/>
      <c r="H34" s="40"/>
      <c r="I34" s="40"/>
    </row>
    <row r="35" spans="1:9" ht="15" customHeight="1" x14ac:dyDescent="0.3">
      <c r="A35" s="40"/>
      <c r="B35" s="40"/>
      <c r="C35" s="40"/>
      <c r="D35" s="40"/>
      <c r="E35" s="40"/>
      <c r="F35" s="40"/>
      <c r="G35" s="40"/>
      <c r="H35" s="40"/>
      <c r="I35" s="40"/>
    </row>
    <row r="36" spans="1:9" ht="15" customHeight="1" x14ac:dyDescent="0.3">
      <c r="A36" s="40"/>
      <c r="B36" s="40"/>
      <c r="C36" s="40"/>
      <c r="D36" s="40"/>
      <c r="E36" s="40"/>
      <c r="F36" s="40"/>
      <c r="G36" s="40"/>
      <c r="H36" s="40"/>
      <c r="I36" s="40"/>
    </row>
    <row r="37" spans="1:9" ht="15" customHeight="1" x14ac:dyDescent="0.3">
      <c r="A37" s="40"/>
      <c r="B37" s="40"/>
      <c r="C37" s="40"/>
      <c r="D37" s="40"/>
      <c r="E37" s="40"/>
      <c r="F37" s="40"/>
      <c r="G37" s="40"/>
      <c r="H37" s="40"/>
      <c r="I37" s="40"/>
    </row>
    <row r="38" spans="1:9" ht="15" customHeight="1" x14ac:dyDescent="0.3">
      <c r="A38" s="40"/>
      <c r="B38" s="40"/>
      <c r="C38" s="40"/>
      <c r="D38" s="40"/>
      <c r="E38" s="40"/>
      <c r="F38" s="40"/>
      <c r="G38" s="40"/>
      <c r="H38" s="40"/>
      <c r="I38" s="40"/>
    </row>
    <row r="39" spans="1:9" ht="15" customHeight="1" x14ac:dyDescent="0.3">
      <c r="A39" s="40"/>
      <c r="B39" s="40"/>
      <c r="C39" s="40"/>
      <c r="D39" s="40"/>
      <c r="E39" s="40"/>
      <c r="F39" s="40"/>
      <c r="G39" s="40"/>
      <c r="H39" s="40"/>
      <c r="I39" s="40"/>
    </row>
    <row r="40" spans="1:9" ht="15" customHeight="1" x14ac:dyDescent="0.3">
      <c r="A40" s="40"/>
      <c r="B40" s="40"/>
      <c r="C40" s="40"/>
      <c r="D40" s="40"/>
      <c r="E40" s="40"/>
      <c r="F40" s="40"/>
      <c r="G40" s="40"/>
      <c r="H40" s="40"/>
      <c r="I40" s="40"/>
    </row>
    <row r="41" spans="1:9" ht="15" customHeight="1" x14ac:dyDescent="0.3">
      <c r="A41" s="40"/>
      <c r="B41" s="40"/>
      <c r="C41" s="40"/>
      <c r="D41" s="40"/>
      <c r="E41" s="40"/>
      <c r="F41" s="40"/>
      <c r="G41" s="40"/>
      <c r="H41" s="40"/>
      <c r="I41" s="40"/>
    </row>
    <row r="42" spans="1:9" ht="15" customHeight="1" x14ac:dyDescent="0.3">
      <c r="A42" s="40"/>
      <c r="B42" s="40"/>
      <c r="C42" s="40"/>
      <c r="D42" s="40"/>
      <c r="E42" s="40"/>
      <c r="F42" s="40"/>
      <c r="G42" s="40"/>
      <c r="H42" s="40"/>
      <c r="I42" s="40"/>
    </row>
    <row r="43" spans="1:9" ht="15" customHeight="1" x14ac:dyDescent="0.3">
      <c r="A43" s="40"/>
      <c r="B43" s="40"/>
      <c r="C43" s="40"/>
      <c r="D43" s="40"/>
      <c r="E43" s="40"/>
      <c r="F43" s="40"/>
      <c r="G43" s="40"/>
      <c r="H43" s="40"/>
      <c r="I43" s="40"/>
    </row>
    <row r="44" spans="1:9" ht="15" customHeight="1" x14ac:dyDescent="0.3">
      <c r="A44" s="40"/>
      <c r="B44" s="40"/>
      <c r="C44" s="40"/>
      <c r="D44" s="40"/>
      <c r="E44" s="40"/>
      <c r="F44" s="40"/>
      <c r="G44" s="40"/>
      <c r="H44" s="40"/>
      <c r="I44" s="40"/>
    </row>
    <row r="45" spans="1:9" ht="15" customHeight="1" x14ac:dyDescent="0.3">
      <c r="A45" s="40"/>
      <c r="B45" s="40"/>
      <c r="C45" s="40"/>
      <c r="D45" s="40"/>
      <c r="E45" s="40"/>
      <c r="F45" s="40"/>
      <c r="G45" s="40"/>
      <c r="H45" s="40"/>
      <c r="I45" s="40"/>
    </row>
    <row r="46" spans="1:9" ht="15" customHeight="1" x14ac:dyDescent="0.3">
      <c r="A46" s="40"/>
      <c r="B46" s="40"/>
      <c r="C46" s="40"/>
      <c r="D46" s="40"/>
      <c r="E46" s="40"/>
      <c r="F46" s="40"/>
      <c r="G46" s="40"/>
      <c r="H46" s="40"/>
      <c r="I46" s="40"/>
    </row>
    <row r="47" spans="1:9" ht="15" customHeight="1" x14ac:dyDescent="0.3">
      <c r="A47" s="40"/>
      <c r="B47" s="40"/>
      <c r="C47" s="40"/>
      <c r="D47" s="40"/>
      <c r="E47" s="40"/>
      <c r="F47" s="40"/>
      <c r="G47" s="40"/>
      <c r="H47" s="40"/>
      <c r="I47" s="40"/>
    </row>
    <row r="48" spans="1:9" ht="15" customHeight="1" x14ac:dyDescent="0.3">
      <c r="A48" s="40"/>
      <c r="B48" s="40"/>
      <c r="C48" s="40"/>
      <c r="D48" s="40"/>
      <c r="E48" s="40"/>
      <c r="F48" s="40"/>
      <c r="G48" s="40"/>
      <c r="H48" s="40"/>
      <c r="I48" s="40"/>
    </row>
    <row r="49" spans="1:9" ht="15" customHeight="1" x14ac:dyDescent="0.3">
      <c r="A49" s="40"/>
      <c r="B49" s="40"/>
      <c r="C49" s="40"/>
      <c r="D49" s="40"/>
      <c r="E49" s="40"/>
      <c r="F49" s="40"/>
      <c r="G49" s="40"/>
      <c r="H49" s="40"/>
      <c r="I49" s="40"/>
    </row>
    <row r="50" spans="1:9" ht="15" customHeight="1" x14ac:dyDescent="0.3">
      <c r="A50" s="40"/>
      <c r="B50" s="40"/>
      <c r="C50" s="40"/>
      <c r="D50" s="40"/>
      <c r="E50" s="40"/>
      <c r="F50" s="40"/>
      <c r="G50" s="40"/>
      <c r="H50" s="40"/>
      <c r="I50" s="40"/>
    </row>
    <row r="51" spans="1:9" ht="15" customHeight="1" x14ac:dyDescent="0.3">
      <c r="A51" s="27"/>
      <c r="B51" s="27"/>
      <c r="C51" s="27"/>
      <c r="D51" s="27"/>
      <c r="E51" s="27"/>
      <c r="F51" s="27"/>
      <c r="G51" s="27"/>
      <c r="H51" s="27"/>
    </row>
    <row r="52" spans="1:9" ht="15" customHeight="1" x14ac:dyDescent="0.3">
      <c r="A52" s="27"/>
      <c r="B52" s="27"/>
      <c r="C52" s="27"/>
      <c r="D52" s="27"/>
      <c r="E52" s="27"/>
      <c r="F52" s="27"/>
      <c r="G52" s="27"/>
      <c r="H52" s="27"/>
    </row>
    <row r="53" spans="1:9" ht="15" customHeight="1" x14ac:dyDescent="0.3">
      <c r="A53" s="27"/>
      <c r="B53" s="27"/>
      <c r="C53" s="27"/>
      <c r="D53" s="27"/>
      <c r="E53" s="27"/>
      <c r="F53" s="27"/>
      <c r="G53" s="27"/>
      <c r="H53" s="27"/>
    </row>
  </sheetData>
  <mergeCells count="6">
    <mergeCell ref="A1:I22"/>
    <mergeCell ref="A23:I24"/>
    <mergeCell ref="B25:C25"/>
    <mergeCell ref="D25:G25"/>
    <mergeCell ref="B26:C26"/>
    <mergeCell ref="D26:G26"/>
  </mergeCells>
  <pageMargins left="0.7" right="0.7" top="0.75" bottom="0.75" header="0.3" footer="0.3"/>
  <pageSetup paperSize="9" scale="9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W91"/>
  <sheetViews>
    <sheetView showGridLines="0" topLeftCell="A19" zoomScale="60" zoomScaleNormal="60" workbookViewId="0">
      <selection activeCell="W46" sqref="W46"/>
    </sheetView>
  </sheetViews>
  <sheetFormatPr defaultRowHeight="14.4" x14ac:dyDescent="0.3"/>
  <cols>
    <col min="1" max="1" width="12.6640625" bestFit="1" customWidth="1"/>
    <col min="2" max="2" width="11.88671875" bestFit="1" customWidth="1"/>
    <col min="19" max="19" width="10.88671875" bestFit="1" customWidth="1"/>
  </cols>
  <sheetData>
    <row r="1" spans="1:75" ht="15" thickBot="1" x14ac:dyDescent="0.35">
      <c r="A1" s="90" t="s">
        <v>26</v>
      </c>
      <c r="B1" s="91"/>
      <c r="C1" s="10">
        <v>2010</v>
      </c>
      <c r="D1" s="10">
        <f>C1+1</f>
        <v>2011</v>
      </c>
      <c r="E1" s="10">
        <f t="shared" ref="E1:R1" si="0">D1+1</f>
        <v>2012</v>
      </c>
      <c r="F1" s="10">
        <f t="shared" si="0"/>
        <v>2013</v>
      </c>
      <c r="G1" s="10">
        <f t="shared" si="0"/>
        <v>2014</v>
      </c>
      <c r="H1" s="10">
        <f t="shared" si="0"/>
        <v>2015</v>
      </c>
      <c r="I1" s="10">
        <f t="shared" si="0"/>
        <v>2016</v>
      </c>
      <c r="J1" s="10">
        <f t="shared" si="0"/>
        <v>2017</v>
      </c>
      <c r="K1" s="10">
        <f t="shared" si="0"/>
        <v>2018</v>
      </c>
      <c r="L1" s="10">
        <f t="shared" si="0"/>
        <v>2019</v>
      </c>
      <c r="M1" s="10">
        <f t="shared" si="0"/>
        <v>2020</v>
      </c>
      <c r="N1" s="10">
        <f t="shared" si="0"/>
        <v>2021</v>
      </c>
      <c r="O1" s="10">
        <f>N1+1</f>
        <v>2022</v>
      </c>
      <c r="P1" s="10">
        <f t="shared" si="0"/>
        <v>2023</v>
      </c>
      <c r="Q1" s="10">
        <f>P1+1</f>
        <v>2024</v>
      </c>
      <c r="R1" s="10">
        <f t="shared" si="0"/>
        <v>2025</v>
      </c>
      <c r="S1" t="s">
        <v>27</v>
      </c>
      <c r="T1" t="s">
        <v>28</v>
      </c>
      <c r="U1" t="s">
        <v>29</v>
      </c>
      <c r="X1" s="97" t="s">
        <v>16</v>
      </c>
      <c r="Y1" s="97"/>
      <c r="Z1" s="97"/>
      <c r="AA1" s="97"/>
      <c r="AB1" s="97"/>
      <c r="AC1" s="97"/>
      <c r="AD1" s="97"/>
      <c r="AG1" s="97" t="s">
        <v>171</v>
      </c>
      <c r="AH1" s="97"/>
      <c r="AI1" s="97"/>
      <c r="AJ1" s="97"/>
      <c r="AK1" s="97"/>
      <c r="AL1" s="97"/>
      <c r="AM1" s="97"/>
      <c r="AP1" s="97" t="s">
        <v>37</v>
      </c>
      <c r="AQ1" s="97"/>
      <c r="AR1" s="97"/>
      <c r="AS1" s="97"/>
      <c r="AT1" s="97"/>
      <c r="AU1" s="97"/>
      <c r="AV1" s="97"/>
      <c r="AY1" s="97" t="s">
        <v>15</v>
      </c>
      <c r="AZ1" s="97"/>
      <c r="BA1" s="97"/>
      <c r="BB1" s="97"/>
      <c r="BC1" s="97"/>
      <c r="BD1" s="97"/>
      <c r="BE1" s="97"/>
      <c r="BH1" s="97" t="s">
        <v>172</v>
      </c>
      <c r="BI1" s="97"/>
      <c r="BJ1" s="97"/>
      <c r="BK1" s="97"/>
      <c r="BL1" s="97"/>
      <c r="BM1" s="97"/>
      <c r="BN1" s="97"/>
      <c r="BQ1" s="97" t="s">
        <v>173</v>
      </c>
      <c r="BR1" s="97"/>
      <c r="BS1" s="97"/>
      <c r="BT1" s="97"/>
      <c r="BU1" s="97"/>
      <c r="BV1" s="97"/>
      <c r="BW1" s="97"/>
    </row>
    <row r="2" spans="1:75" ht="27" thickBot="1" x14ac:dyDescent="0.35">
      <c r="A2" s="92" t="s">
        <v>16</v>
      </c>
      <c r="B2" s="11" t="s">
        <v>30</v>
      </c>
      <c r="C2" s="11">
        <f>[1]Information!$V$9</f>
        <v>135</v>
      </c>
      <c r="D2" s="11">
        <f>[1]Information!$V$10</f>
        <v>80</v>
      </c>
      <c r="E2" s="11">
        <f>[1]Information!$V$11</f>
        <v>101</v>
      </c>
      <c r="F2" s="11">
        <f>[1]Information!$V$12</f>
        <v>115</v>
      </c>
      <c r="G2" s="11">
        <f>[1]Information!$V$13</f>
        <v>105</v>
      </c>
      <c r="H2" s="11">
        <f>[1]Information!$V$14</f>
        <v>99</v>
      </c>
      <c r="I2" s="11">
        <f>[1]Information!$V$15</f>
        <v>151</v>
      </c>
      <c r="J2" s="12">
        <f>[1]Information!$V$16</f>
        <v>102</v>
      </c>
      <c r="K2" s="12">
        <f>[1]Information!$V$17</f>
        <v>4</v>
      </c>
      <c r="L2" s="12">
        <f>[1]Information!$V$18</f>
        <v>0</v>
      </c>
      <c r="M2" s="12">
        <f>[1]Information!$V$19</f>
        <v>0</v>
      </c>
      <c r="N2" s="12">
        <f>[1]Information!$V$20</f>
        <v>0</v>
      </c>
      <c r="O2" s="12">
        <f>[1]Information!$V$21</f>
        <v>0</v>
      </c>
      <c r="P2" s="12">
        <f>[1]Information!$V$22</f>
        <v>0</v>
      </c>
      <c r="Q2" s="12">
        <f>[1]Information!$V$23</f>
        <v>0</v>
      </c>
      <c r="R2" s="12">
        <f>[1]Information!$V$24</f>
        <v>0</v>
      </c>
      <c r="S2">
        <f t="shared" ref="S2:S13" si="1">SUM(C2:R2)</f>
        <v>892</v>
      </c>
      <c r="T2" s="94">
        <f>SUM(S2:S3)</f>
        <v>985</v>
      </c>
      <c r="U2" s="94">
        <f>S3</f>
        <v>93</v>
      </c>
      <c r="X2" s="98" t="s">
        <v>170</v>
      </c>
      <c r="Y2" s="99"/>
      <c r="Z2" s="100" t="s">
        <v>169</v>
      </c>
      <c r="AA2" s="101"/>
      <c r="AB2" s="51"/>
      <c r="AC2" s="48" t="s">
        <v>170</v>
      </c>
      <c r="AD2" s="47" t="s">
        <v>169</v>
      </c>
      <c r="AG2" s="98" t="s">
        <v>170</v>
      </c>
      <c r="AH2" s="99"/>
      <c r="AI2" s="100" t="s">
        <v>169</v>
      </c>
      <c r="AJ2" s="101"/>
      <c r="AK2" s="51"/>
      <c r="AL2" s="48" t="s">
        <v>170</v>
      </c>
      <c r="AM2" s="47" t="s">
        <v>169</v>
      </c>
      <c r="AP2" s="98" t="s">
        <v>170</v>
      </c>
      <c r="AQ2" s="99"/>
      <c r="AR2" s="100" t="s">
        <v>169</v>
      </c>
      <c r="AS2" s="101"/>
      <c r="AT2" s="51"/>
      <c r="AU2" s="48" t="s">
        <v>170</v>
      </c>
      <c r="AV2" s="47" t="s">
        <v>169</v>
      </c>
      <c r="AY2" s="98" t="s">
        <v>170</v>
      </c>
      <c r="AZ2" s="99"/>
      <c r="BA2" s="100" t="s">
        <v>169</v>
      </c>
      <c r="BB2" s="101"/>
      <c r="BC2" s="51"/>
      <c r="BD2" s="48" t="s">
        <v>170</v>
      </c>
      <c r="BE2" s="47" t="s">
        <v>169</v>
      </c>
      <c r="BH2" s="98" t="s">
        <v>170</v>
      </c>
      <c r="BI2" s="99"/>
      <c r="BJ2" s="100" t="s">
        <v>169</v>
      </c>
      <c r="BK2" s="101"/>
      <c r="BL2" s="51"/>
      <c r="BM2" s="48" t="s">
        <v>170</v>
      </c>
      <c r="BN2" s="47" t="s">
        <v>169</v>
      </c>
      <c r="BQ2" s="98" t="s">
        <v>170</v>
      </c>
      <c r="BR2" s="99"/>
      <c r="BS2" s="100" t="s">
        <v>169</v>
      </c>
      <c r="BT2" s="101"/>
      <c r="BU2" s="51"/>
      <c r="BV2" s="49" t="s">
        <v>170</v>
      </c>
      <c r="BW2" s="47" t="s">
        <v>169</v>
      </c>
    </row>
    <row r="3" spans="1:75" ht="15" thickBot="1" x14ac:dyDescent="0.35">
      <c r="A3" s="93"/>
      <c r="B3" s="13" t="s">
        <v>31</v>
      </c>
      <c r="C3" s="13">
        <f>[1]Information!$W$9</f>
        <v>1</v>
      </c>
      <c r="D3" s="13">
        <f>[1]Information!$W$10</f>
        <v>0</v>
      </c>
      <c r="E3" s="13">
        <f>[1]Information!$W$11</f>
        <v>6</v>
      </c>
      <c r="F3" s="13">
        <f>[1]Information!$W$12</f>
        <v>3</v>
      </c>
      <c r="G3" s="13">
        <f>[1]Information!$W$13</f>
        <v>2</v>
      </c>
      <c r="H3" s="13">
        <f>[1]Information!$W$14</f>
        <v>1</v>
      </c>
      <c r="I3" s="13">
        <f>[1]Information!$W$15</f>
        <v>17</v>
      </c>
      <c r="J3" s="14">
        <f>[1]Information!$W$16</f>
        <v>32</v>
      </c>
      <c r="K3" s="14">
        <f>[1]Information!$W$17</f>
        <v>31</v>
      </c>
      <c r="L3" s="14">
        <f>[1]Information!$W$18</f>
        <v>0</v>
      </c>
      <c r="M3" s="14">
        <f>[1]Information!$W$19</f>
        <v>0</v>
      </c>
      <c r="N3" s="14">
        <f>[1]Information!$W$20</f>
        <v>0</v>
      </c>
      <c r="O3" s="14">
        <f>[1]Information!$W$21</f>
        <v>0</v>
      </c>
      <c r="P3" s="14">
        <f>[1]Information!$W$22</f>
        <v>0</v>
      </c>
      <c r="Q3" s="14">
        <f>[1]Information!$W$23</f>
        <v>0</v>
      </c>
      <c r="R3" s="14">
        <f>[1]Information!$W$24</f>
        <v>0</v>
      </c>
      <c r="S3">
        <f t="shared" si="1"/>
        <v>93</v>
      </c>
      <c r="T3" s="94"/>
      <c r="U3" s="94"/>
      <c r="W3" s="46">
        <f>[1]Information!X9</f>
        <v>2010</v>
      </c>
      <c r="X3" s="46">
        <f>[1]Information!Y9</f>
        <v>43</v>
      </c>
      <c r="Y3" s="46">
        <f>[1]Information!Z9</f>
        <v>46</v>
      </c>
      <c r="Z3" s="46">
        <f>[1]Information!AA9</f>
        <v>26</v>
      </c>
      <c r="AA3" s="46">
        <f>[1]Information!AB9</f>
        <v>21</v>
      </c>
      <c r="AB3" s="52"/>
      <c r="AC3" s="46">
        <f t="shared" ref="AC3:AC11" si="2">SUM(X3:Y3)</f>
        <v>89</v>
      </c>
      <c r="AD3" s="46">
        <f t="shared" ref="AD3:AD11" si="3">SUM(Z3:AA3)</f>
        <v>47</v>
      </c>
      <c r="AF3" s="46">
        <f>[2]Information!X9</f>
        <v>2010</v>
      </c>
      <c r="AG3" s="46">
        <f>[2]Information!Y9</f>
        <v>6</v>
      </c>
      <c r="AH3" s="46">
        <f>[2]Information!Z9</f>
        <v>8</v>
      </c>
      <c r="AI3" s="46">
        <f>[2]Information!AA9</f>
        <v>8</v>
      </c>
      <c r="AJ3" s="46">
        <f>[2]Information!AB9</f>
        <v>11</v>
      </c>
      <c r="AK3" s="52"/>
      <c r="AL3" s="46">
        <f t="shared" ref="AL3:AL11" si="4">SUM(AG3:AH3)</f>
        <v>14</v>
      </c>
      <c r="AM3" s="46">
        <f t="shared" ref="AM3:AM11" si="5">SUM(AI3:AJ3)</f>
        <v>19</v>
      </c>
      <c r="AO3" s="46">
        <f>[4]Information!X9</f>
        <v>2010</v>
      </c>
      <c r="AP3" s="46">
        <f>[4]Information!Y9</f>
        <v>0</v>
      </c>
      <c r="AQ3" s="46">
        <f>[4]Information!Z9</f>
        <v>3</v>
      </c>
      <c r="AR3" s="46">
        <f>[4]Information!AA9</f>
        <v>0</v>
      </c>
      <c r="AS3" s="46">
        <f>[4]Information!AB9</f>
        <v>2</v>
      </c>
      <c r="AT3" s="52"/>
      <c r="AU3" s="46">
        <f t="shared" ref="AU3:AU11" si="6">SUM(AP3:AQ3)</f>
        <v>3</v>
      </c>
      <c r="AV3" s="46">
        <f t="shared" ref="AV3:AV11" si="7">SUM(AR3:AS3)</f>
        <v>2</v>
      </c>
      <c r="AX3" s="46">
        <f>[5]Information!X9</f>
        <v>2010</v>
      </c>
      <c r="AY3" s="46">
        <f>[3]Information!Y9</f>
        <v>0</v>
      </c>
      <c r="AZ3" s="46">
        <f>[3]Information!Z9</f>
        <v>0</v>
      </c>
      <c r="BA3" s="46">
        <f>[3]Information!AA9</f>
        <v>0</v>
      </c>
      <c r="BB3" s="46">
        <f>[3]Information!AB9</f>
        <v>0</v>
      </c>
      <c r="BC3" s="52"/>
      <c r="BD3" s="46">
        <f t="shared" ref="BD3:BD11" si="8">SUM(AY3:AZ3)</f>
        <v>0</v>
      </c>
      <c r="BE3" s="46">
        <f t="shared" ref="BE3:BE11" si="9">SUM(BA3:BB3)</f>
        <v>0</v>
      </c>
      <c r="BG3" s="46">
        <f>[3]Information!X9</f>
        <v>2010</v>
      </c>
      <c r="BH3" s="46">
        <f>[5]Information!Y9</f>
        <v>17</v>
      </c>
      <c r="BI3" s="46">
        <f>[5]Information!Z9</f>
        <v>2</v>
      </c>
      <c r="BJ3" s="46">
        <f>[5]Information!AA9</f>
        <v>0</v>
      </c>
      <c r="BK3" s="46">
        <f>[5]Information!AB9</f>
        <v>0</v>
      </c>
      <c r="BL3" s="52"/>
      <c r="BM3" s="46">
        <f t="shared" ref="BM3:BM11" si="10">SUM(BH3:BI3)</f>
        <v>19</v>
      </c>
      <c r="BN3" s="46">
        <f t="shared" ref="BN3:BN11" si="11">SUM(BJ3:BK3)</f>
        <v>0</v>
      </c>
      <c r="BP3" s="46">
        <f>[6]Information!X9</f>
        <v>2010</v>
      </c>
      <c r="BQ3" s="46">
        <f>[6]Information!Y9</f>
        <v>0</v>
      </c>
      <c r="BR3" s="46">
        <f>[6]Information!Z9</f>
        <v>2</v>
      </c>
      <c r="BS3" s="46">
        <f>[6]Information!AA9</f>
        <v>0</v>
      </c>
      <c r="BT3" s="46">
        <f>[6]Information!AB9</f>
        <v>0</v>
      </c>
      <c r="BU3" s="52"/>
      <c r="BV3" s="46">
        <f t="shared" ref="BV3:BV11" si="12">SUM(BQ3:BR3)</f>
        <v>2</v>
      </c>
      <c r="BW3" s="46">
        <f t="shared" ref="BW3:BW11" si="13">SUM(BS3:BT3)</f>
        <v>0</v>
      </c>
    </row>
    <row r="4" spans="1:75" ht="15" thickBot="1" x14ac:dyDescent="0.35">
      <c r="A4" s="92" t="s">
        <v>17</v>
      </c>
      <c r="B4" s="11" t="s">
        <v>30</v>
      </c>
      <c r="C4" s="11">
        <f>[2]Information!$V$9</f>
        <v>33</v>
      </c>
      <c r="D4" s="11">
        <f>[2]Information!$V$10</f>
        <v>28</v>
      </c>
      <c r="E4" s="11">
        <f>[2]Information!$V$11</f>
        <v>32</v>
      </c>
      <c r="F4" s="11">
        <f>[2]Information!$V$12</f>
        <v>51</v>
      </c>
      <c r="G4" s="11">
        <f>[2]Information!$V$13</f>
        <v>48</v>
      </c>
      <c r="H4" s="11">
        <f>[2]Information!$V$14</f>
        <v>35</v>
      </c>
      <c r="I4" s="11">
        <f>[2]Information!$V$15</f>
        <v>32</v>
      </c>
      <c r="J4" s="12">
        <f>[2]Information!$V$16</f>
        <v>17</v>
      </c>
      <c r="K4" s="12">
        <f>[2]Information!$V$17</f>
        <v>2</v>
      </c>
      <c r="L4" s="12">
        <f>[2]Information!$V$18</f>
        <v>0</v>
      </c>
      <c r="M4" s="12">
        <f>[2]Information!$V$19</f>
        <v>0</v>
      </c>
      <c r="N4" s="12">
        <f>[2]Information!$V$20</f>
        <v>0</v>
      </c>
      <c r="O4" s="12">
        <f>[2]Information!$V$21</f>
        <v>0</v>
      </c>
      <c r="P4" s="12">
        <f>[2]Information!$V$22</f>
        <v>0</v>
      </c>
      <c r="Q4" s="12">
        <f>[2]Information!$V$23</f>
        <v>0</v>
      </c>
      <c r="R4" s="12">
        <f>[2]Information!$V$24</f>
        <v>0</v>
      </c>
      <c r="S4">
        <f t="shared" si="1"/>
        <v>278</v>
      </c>
      <c r="T4" s="94">
        <f>SUM(S4:S5)</f>
        <v>305</v>
      </c>
      <c r="U4" s="94">
        <f>S5</f>
        <v>27</v>
      </c>
      <c r="W4" s="46">
        <f>W3+1</f>
        <v>2011</v>
      </c>
      <c r="X4" s="46">
        <f>[1]Information!Y10</f>
        <v>35</v>
      </c>
      <c r="Y4" s="46">
        <f>[1]Information!Z10</f>
        <v>24</v>
      </c>
      <c r="Z4" s="46">
        <f>[1]Information!AA10</f>
        <v>14</v>
      </c>
      <c r="AA4" s="46">
        <f>[1]Information!AB10</f>
        <v>7</v>
      </c>
      <c r="AB4" s="52"/>
      <c r="AC4" s="46">
        <f t="shared" si="2"/>
        <v>59</v>
      </c>
      <c r="AD4" s="46">
        <f t="shared" si="3"/>
        <v>21</v>
      </c>
      <c r="AF4" s="46">
        <f>AF3+1</f>
        <v>2011</v>
      </c>
      <c r="AG4" s="46">
        <f>[2]Information!Y10</f>
        <v>10</v>
      </c>
      <c r="AH4" s="46">
        <f>[2]Information!Z10</f>
        <v>9</v>
      </c>
      <c r="AI4" s="46">
        <f>[2]Information!AA10</f>
        <v>2</v>
      </c>
      <c r="AJ4" s="46">
        <f>[2]Information!AB10</f>
        <v>12</v>
      </c>
      <c r="AK4" s="52"/>
      <c r="AL4" s="46">
        <f t="shared" si="4"/>
        <v>19</v>
      </c>
      <c r="AM4" s="46">
        <f t="shared" si="5"/>
        <v>14</v>
      </c>
      <c r="AO4" s="46">
        <f>AO3+1</f>
        <v>2011</v>
      </c>
      <c r="AP4" s="46">
        <f>[4]Information!Y10</f>
        <v>0</v>
      </c>
      <c r="AQ4" s="46">
        <f>[4]Information!Z10</f>
        <v>3</v>
      </c>
      <c r="AR4" s="46">
        <f>[4]Information!AA10</f>
        <v>0</v>
      </c>
      <c r="AS4" s="46">
        <f>[4]Information!AB10</f>
        <v>5</v>
      </c>
      <c r="AT4" s="52"/>
      <c r="AU4" s="46">
        <f t="shared" si="6"/>
        <v>3</v>
      </c>
      <c r="AV4" s="46">
        <f t="shared" si="7"/>
        <v>5</v>
      </c>
      <c r="AX4" s="46">
        <f>AX3+1</f>
        <v>2011</v>
      </c>
      <c r="AY4" s="46">
        <f>[3]Information!Y10</f>
        <v>0</v>
      </c>
      <c r="AZ4" s="46">
        <f>[3]Information!Z10</f>
        <v>0</v>
      </c>
      <c r="BA4" s="46">
        <f>[3]Information!AA10</f>
        <v>0</v>
      </c>
      <c r="BB4" s="46">
        <f>[3]Information!AB10</f>
        <v>0</v>
      </c>
      <c r="BC4" s="52"/>
      <c r="BD4" s="46">
        <f t="shared" si="8"/>
        <v>0</v>
      </c>
      <c r="BE4" s="46">
        <f t="shared" si="9"/>
        <v>0</v>
      </c>
      <c r="BG4" s="46">
        <f>BG3+1</f>
        <v>2011</v>
      </c>
      <c r="BH4" s="46">
        <f>[5]Information!Y10</f>
        <v>7</v>
      </c>
      <c r="BI4" s="46">
        <f>[5]Information!Z10</f>
        <v>8</v>
      </c>
      <c r="BJ4" s="46">
        <f>[5]Information!AA10</f>
        <v>0</v>
      </c>
      <c r="BK4" s="46">
        <f>[5]Information!AB10</f>
        <v>0</v>
      </c>
      <c r="BL4" s="52"/>
      <c r="BM4" s="46">
        <f t="shared" si="10"/>
        <v>15</v>
      </c>
      <c r="BN4" s="46">
        <f t="shared" si="11"/>
        <v>0</v>
      </c>
      <c r="BP4" s="46">
        <f>BP3+1</f>
        <v>2011</v>
      </c>
      <c r="BQ4" s="46">
        <f>[6]Information!Y10</f>
        <v>0</v>
      </c>
      <c r="BR4" s="46">
        <f>[6]Information!Z10</f>
        <v>0</v>
      </c>
      <c r="BS4" s="46">
        <f>[6]Information!AA10</f>
        <v>0</v>
      </c>
      <c r="BT4" s="46">
        <f>[6]Information!AB10</f>
        <v>9</v>
      </c>
      <c r="BU4" s="52"/>
      <c r="BV4" s="46">
        <f t="shared" si="12"/>
        <v>0</v>
      </c>
      <c r="BW4" s="46">
        <f t="shared" si="13"/>
        <v>9</v>
      </c>
    </row>
    <row r="5" spans="1:75" ht="15.6" thickTop="1" thickBot="1" x14ac:dyDescent="0.35">
      <c r="A5" s="93"/>
      <c r="B5" s="13" t="s">
        <v>31</v>
      </c>
      <c r="C5" s="13">
        <f>[2]Information!$W$9</f>
        <v>0</v>
      </c>
      <c r="D5" s="13">
        <f>[2]Information!$W$10</f>
        <v>5</v>
      </c>
      <c r="E5" s="13">
        <f>[2]Information!$W$11</f>
        <v>4</v>
      </c>
      <c r="F5" s="13">
        <f>[2]Information!$W$12</f>
        <v>1</v>
      </c>
      <c r="G5" s="13">
        <f>[2]Information!$W$13</f>
        <v>0</v>
      </c>
      <c r="H5" s="13">
        <f>[2]Information!$W$14</f>
        <v>0</v>
      </c>
      <c r="I5" s="13">
        <f>[2]Information!$W$15</f>
        <v>5</v>
      </c>
      <c r="J5" s="14">
        <f>[2]Information!$W$16</f>
        <v>3</v>
      </c>
      <c r="K5" s="14">
        <f>[2]Information!$W$17</f>
        <v>9</v>
      </c>
      <c r="L5" s="14">
        <f>[2]Information!$W$18</f>
        <v>0</v>
      </c>
      <c r="M5" s="14">
        <f>[2]Information!$W$19</f>
        <v>0</v>
      </c>
      <c r="N5" s="14">
        <f>[2]Information!$W$20</f>
        <v>0</v>
      </c>
      <c r="O5" s="14">
        <f>[2]Information!$W$21</f>
        <v>0</v>
      </c>
      <c r="P5" s="14">
        <f>[2]Information!$W$22</f>
        <v>0</v>
      </c>
      <c r="Q5" s="14">
        <f>[2]Information!$W$23</f>
        <v>0</v>
      </c>
      <c r="R5" s="14">
        <f>[2]Information!$W$24</f>
        <v>0</v>
      </c>
      <c r="S5">
        <f t="shared" si="1"/>
        <v>27</v>
      </c>
      <c r="T5" s="94"/>
      <c r="U5" s="94"/>
      <c r="W5" s="46">
        <f t="shared" ref="W5:W11" si="14">W4+1</f>
        <v>2012</v>
      </c>
      <c r="X5" s="46">
        <f>[1]Information!Y11</f>
        <v>37</v>
      </c>
      <c r="Y5" s="46">
        <f>[1]Information!Z11</f>
        <v>23</v>
      </c>
      <c r="Z5" s="46">
        <f>[1]Information!AA11</f>
        <v>29</v>
      </c>
      <c r="AA5" s="46">
        <f>[1]Information!AB11</f>
        <v>18</v>
      </c>
      <c r="AB5" s="52"/>
      <c r="AC5" s="46">
        <f t="shared" si="2"/>
        <v>60</v>
      </c>
      <c r="AD5" s="46">
        <f t="shared" si="3"/>
        <v>47</v>
      </c>
      <c r="AF5" s="46">
        <f t="shared" ref="AF5:AF11" si="15">AF4+1</f>
        <v>2012</v>
      </c>
      <c r="AG5" s="46">
        <f>[2]Information!Y11</f>
        <v>16</v>
      </c>
      <c r="AH5" s="46">
        <f>[2]Information!Z11</f>
        <v>11</v>
      </c>
      <c r="AI5" s="46">
        <f>[2]Information!AA11</f>
        <v>6</v>
      </c>
      <c r="AJ5" s="46">
        <f>[2]Information!AB11</f>
        <v>3</v>
      </c>
      <c r="AK5" s="52"/>
      <c r="AL5" s="46">
        <f t="shared" si="4"/>
        <v>27</v>
      </c>
      <c r="AM5" s="46">
        <f t="shared" si="5"/>
        <v>9</v>
      </c>
      <c r="AO5" s="46">
        <f t="shared" ref="AO5:AO11" si="16">AO4+1</f>
        <v>2012</v>
      </c>
      <c r="AP5" s="46">
        <f>[4]Information!Y11</f>
        <v>0</v>
      </c>
      <c r="AQ5" s="46">
        <f>[4]Information!Z11</f>
        <v>3</v>
      </c>
      <c r="AR5" s="46">
        <f>[4]Information!AA11</f>
        <v>0</v>
      </c>
      <c r="AS5" s="46">
        <f>[4]Information!AB11</f>
        <v>4</v>
      </c>
      <c r="AT5" s="52"/>
      <c r="AU5" s="46">
        <f t="shared" si="6"/>
        <v>3</v>
      </c>
      <c r="AV5" s="46">
        <f t="shared" si="7"/>
        <v>4</v>
      </c>
      <c r="AX5" s="46">
        <f t="shared" ref="AX5:AX11" si="17">AX4+1</f>
        <v>2012</v>
      </c>
      <c r="AY5" s="46">
        <f>[3]Information!Y11</f>
        <v>0</v>
      </c>
      <c r="AZ5" s="46">
        <f>[3]Information!Z11</f>
        <v>0</v>
      </c>
      <c r="BA5" s="46">
        <f>[3]Information!AA11</f>
        <v>0</v>
      </c>
      <c r="BB5" s="46">
        <f>[3]Information!AB11</f>
        <v>0</v>
      </c>
      <c r="BC5" s="52"/>
      <c r="BD5" s="46">
        <f t="shared" si="8"/>
        <v>0</v>
      </c>
      <c r="BE5" s="46">
        <f t="shared" si="9"/>
        <v>0</v>
      </c>
      <c r="BG5" s="46">
        <f t="shared" ref="BG5:BG11" si="18">BG4+1</f>
        <v>2012</v>
      </c>
      <c r="BH5" s="46">
        <f>[5]Information!Y11</f>
        <v>6</v>
      </c>
      <c r="BI5" s="46">
        <f>[5]Information!Z11</f>
        <v>1</v>
      </c>
      <c r="BJ5" s="46">
        <f>[5]Information!AA11</f>
        <v>0</v>
      </c>
      <c r="BK5" s="46">
        <f>[5]Information!AB11</f>
        <v>0</v>
      </c>
      <c r="BL5" s="52"/>
      <c r="BM5" s="46">
        <f t="shared" si="10"/>
        <v>7</v>
      </c>
      <c r="BN5" s="46">
        <f t="shared" si="11"/>
        <v>0</v>
      </c>
      <c r="BP5" s="46">
        <f t="shared" ref="BP5:BP11" si="19">BP4+1</f>
        <v>2012</v>
      </c>
      <c r="BQ5" s="46">
        <f>[6]Information!Y11</f>
        <v>0</v>
      </c>
      <c r="BR5" s="46">
        <f>[6]Information!Z11</f>
        <v>0</v>
      </c>
      <c r="BS5" s="46">
        <f>[6]Information!AA11</f>
        <v>0</v>
      </c>
      <c r="BT5" s="46">
        <f>[6]Information!AB11</f>
        <v>6</v>
      </c>
      <c r="BU5" s="52"/>
      <c r="BV5" s="46">
        <f t="shared" si="12"/>
        <v>0</v>
      </c>
      <c r="BW5" s="46">
        <f t="shared" si="13"/>
        <v>6</v>
      </c>
    </row>
    <row r="6" spans="1:75" ht="15" thickBot="1" x14ac:dyDescent="0.35">
      <c r="A6" s="92" t="s">
        <v>18</v>
      </c>
      <c r="B6" s="11" t="s">
        <v>30</v>
      </c>
      <c r="C6" s="11">
        <f>[4]Information!$V$9</f>
        <v>4</v>
      </c>
      <c r="D6" s="11">
        <f>[4]Information!$V$10</f>
        <v>6</v>
      </c>
      <c r="E6" s="11">
        <f>[4]Information!$V$11</f>
        <v>6</v>
      </c>
      <c r="F6" s="11">
        <f>[4]Information!$V$12</f>
        <v>1</v>
      </c>
      <c r="G6" s="11">
        <f>[4]Information!$V$13</f>
        <v>0</v>
      </c>
      <c r="H6" s="11">
        <f>[4]Information!$V$14</f>
        <v>0</v>
      </c>
      <c r="I6" s="11">
        <f>[4]Information!$V$15</f>
        <v>2</v>
      </c>
      <c r="J6" s="12">
        <f>[4]Information!$V$16</f>
        <v>2</v>
      </c>
      <c r="K6" s="12">
        <f>[4]Information!$V$17</f>
        <v>0</v>
      </c>
      <c r="L6" s="12">
        <f>[4]Information!$V$18</f>
        <v>0</v>
      </c>
      <c r="M6" s="12">
        <f>[4]Information!$V$19</f>
        <v>0</v>
      </c>
      <c r="N6" s="12">
        <f>[4]Information!$V$20</f>
        <v>0</v>
      </c>
      <c r="O6" s="12">
        <f>[4]Information!$V$21</f>
        <v>0</v>
      </c>
      <c r="P6" s="12">
        <f>[4]Information!$V$22</f>
        <v>0</v>
      </c>
      <c r="Q6" s="12">
        <f>[4]Information!$V$23</f>
        <v>0</v>
      </c>
      <c r="R6" s="12">
        <f>[4]Information!$V$24</f>
        <v>0</v>
      </c>
      <c r="S6">
        <f t="shared" si="1"/>
        <v>21</v>
      </c>
      <c r="T6" s="94">
        <f>SUM(S6:S7)</f>
        <v>27</v>
      </c>
      <c r="U6" s="94">
        <f>S7</f>
        <v>6</v>
      </c>
      <c r="W6" s="46">
        <f t="shared" si="14"/>
        <v>2013</v>
      </c>
      <c r="X6" s="46">
        <f>[1]Information!Y12</f>
        <v>38</v>
      </c>
      <c r="Y6" s="46">
        <f>[1]Information!Z12</f>
        <v>36</v>
      </c>
      <c r="Z6" s="46">
        <f>[1]Information!AA12</f>
        <v>29</v>
      </c>
      <c r="AA6" s="46">
        <f>[1]Information!AB12</f>
        <v>15</v>
      </c>
      <c r="AB6" s="52"/>
      <c r="AC6" s="46">
        <f t="shared" si="2"/>
        <v>74</v>
      </c>
      <c r="AD6" s="46">
        <f t="shared" si="3"/>
        <v>44</v>
      </c>
      <c r="AF6" s="46">
        <f t="shared" si="15"/>
        <v>2013</v>
      </c>
      <c r="AG6" s="46">
        <f>[2]Information!Y12</f>
        <v>14</v>
      </c>
      <c r="AH6" s="46">
        <f>[2]Information!Z12</f>
        <v>29</v>
      </c>
      <c r="AI6" s="46">
        <f>[2]Information!AA12</f>
        <v>2</v>
      </c>
      <c r="AJ6" s="46">
        <f>[2]Information!AB12</f>
        <v>7</v>
      </c>
      <c r="AK6" s="52"/>
      <c r="AL6" s="46">
        <f t="shared" si="4"/>
        <v>43</v>
      </c>
      <c r="AM6" s="46">
        <f t="shared" si="5"/>
        <v>9</v>
      </c>
      <c r="AO6" s="46">
        <f t="shared" si="16"/>
        <v>2013</v>
      </c>
      <c r="AP6" s="46">
        <f>[4]Information!Y12</f>
        <v>0</v>
      </c>
      <c r="AQ6" s="46">
        <f>[4]Information!Z12</f>
        <v>1</v>
      </c>
      <c r="AR6" s="46">
        <f>[4]Information!AA12</f>
        <v>0</v>
      </c>
      <c r="AS6" s="46">
        <f>[4]Information!AB12</f>
        <v>0</v>
      </c>
      <c r="AT6" s="52"/>
      <c r="AU6" s="46">
        <f t="shared" si="6"/>
        <v>1</v>
      </c>
      <c r="AV6" s="46">
        <f t="shared" si="7"/>
        <v>0</v>
      </c>
      <c r="AX6" s="46">
        <f t="shared" si="17"/>
        <v>2013</v>
      </c>
      <c r="AY6" s="46">
        <f>[3]Information!Y12</f>
        <v>0</v>
      </c>
      <c r="AZ6" s="46">
        <f>[3]Information!Z12</f>
        <v>0</v>
      </c>
      <c r="BA6" s="46">
        <f>[3]Information!AA12</f>
        <v>0</v>
      </c>
      <c r="BB6" s="46">
        <f>[3]Information!AB12</f>
        <v>0</v>
      </c>
      <c r="BC6" s="52"/>
      <c r="BD6" s="46">
        <f t="shared" si="8"/>
        <v>0</v>
      </c>
      <c r="BE6" s="46">
        <f t="shared" si="9"/>
        <v>0</v>
      </c>
      <c r="BG6" s="46">
        <f t="shared" si="18"/>
        <v>2013</v>
      </c>
      <c r="BH6" s="46">
        <f>[5]Information!Y12</f>
        <v>24</v>
      </c>
      <c r="BI6" s="46">
        <f>[5]Information!Z12</f>
        <v>4</v>
      </c>
      <c r="BJ6" s="46">
        <f>[5]Information!AA12</f>
        <v>0</v>
      </c>
      <c r="BK6" s="46">
        <f>[5]Information!AB12</f>
        <v>0</v>
      </c>
      <c r="BL6" s="52"/>
      <c r="BM6" s="46">
        <f t="shared" si="10"/>
        <v>28</v>
      </c>
      <c r="BN6" s="46">
        <f t="shared" si="11"/>
        <v>0</v>
      </c>
      <c r="BP6" s="46">
        <f t="shared" si="19"/>
        <v>2013</v>
      </c>
      <c r="BQ6" s="46">
        <f>[6]Information!Y12</f>
        <v>0</v>
      </c>
      <c r="BR6" s="46">
        <f>[6]Information!Z12</f>
        <v>0</v>
      </c>
      <c r="BS6" s="46">
        <f>[6]Information!AA12</f>
        <v>0</v>
      </c>
      <c r="BT6" s="46">
        <f>[6]Information!AB12</f>
        <v>16</v>
      </c>
      <c r="BU6" s="52"/>
      <c r="BV6" s="46">
        <f t="shared" si="12"/>
        <v>0</v>
      </c>
      <c r="BW6" s="46">
        <f t="shared" si="13"/>
        <v>16</v>
      </c>
    </row>
    <row r="7" spans="1:75" ht="15.6" thickTop="1" thickBot="1" x14ac:dyDescent="0.35">
      <c r="A7" s="93"/>
      <c r="B7" s="13" t="s">
        <v>31</v>
      </c>
      <c r="C7" s="13">
        <f>[4]Information!$W$9</f>
        <v>1</v>
      </c>
      <c r="D7" s="13">
        <f>[4]Information!$W$10</f>
        <v>2</v>
      </c>
      <c r="E7" s="13">
        <f>[4]Information!$W$11</f>
        <v>1</v>
      </c>
      <c r="F7" s="13">
        <f>[4]Information!$W$12</f>
        <v>0</v>
      </c>
      <c r="G7" s="13">
        <f>[4]Information!$W$13</f>
        <v>0</v>
      </c>
      <c r="H7" s="13">
        <f>[4]Information!$W$14</f>
        <v>0</v>
      </c>
      <c r="I7" s="13">
        <f>[4]Information!$W$15</f>
        <v>0</v>
      </c>
      <c r="J7" s="14">
        <f>[4]Information!$W$16</f>
        <v>2</v>
      </c>
      <c r="K7" s="14">
        <f>[4]Information!$W$17</f>
        <v>0</v>
      </c>
      <c r="L7" s="14">
        <f>[4]Information!$W$18</f>
        <v>0</v>
      </c>
      <c r="M7" s="14">
        <f>[4]Information!$W$19</f>
        <v>0</v>
      </c>
      <c r="N7" s="14">
        <f>[4]Information!$W$20</f>
        <v>0</v>
      </c>
      <c r="O7" s="14">
        <f>[4]Information!$W$21</f>
        <v>0</v>
      </c>
      <c r="P7" s="14">
        <f>[4]Information!$W$22</f>
        <v>0</v>
      </c>
      <c r="Q7" s="14">
        <f>[4]Information!$W$23</f>
        <v>0</v>
      </c>
      <c r="R7" s="14">
        <f>[4]Information!$W$24</f>
        <v>0</v>
      </c>
      <c r="S7">
        <f t="shared" si="1"/>
        <v>6</v>
      </c>
      <c r="T7" s="94"/>
      <c r="U7" s="94"/>
      <c r="W7" s="46">
        <f t="shared" si="14"/>
        <v>2014</v>
      </c>
      <c r="X7" s="46">
        <f>[1]Information!Y13</f>
        <v>23</v>
      </c>
      <c r="Y7" s="46">
        <f>[1]Information!Z13</f>
        <v>35</v>
      </c>
      <c r="Z7" s="46">
        <f>[1]Information!AA13</f>
        <v>21</v>
      </c>
      <c r="AA7" s="46">
        <f>[1]Information!AB13</f>
        <v>28</v>
      </c>
      <c r="AB7" s="52"/>
      <c r="AC7" s="46">
        <f t="shared" si="2"/>
        <v>58</v>
      </c>
      <c r="AD7" s="46">
        <f t="shared" si="3"/>
        <v>49</v>
      </c>
      <c r="AF7" s="46">
        <f t="shared" si="15"/>
        <v>2014</v>
      </c>
      <c r="AG7" s="46">
        <f>[2]Information!Y13</f>
        <v>24</v>
      </c>
      <c r="AH7" s="46">
        <f>[2]Information!Z13</f>
        <v>23</v>
      </c>
      <c r="AI7" s="46">
        <f>[2]Information!AA13</f>
        <v>0</v>
      </c>
      <c r="AJ7" s="46">
        <f>[2]Information!AB13</f>
        <v>1</v>
      </c>
      <c r="AK7" s="52"/>
      <c r="AL7" s="46">
        <f t="shared" si="4"/>
        <v>47</v>
      </c>
      <c r="AM7" s="46">
        <f t="shared" si="5"/>
        <v>1</v>
      </c>
      <c r="AO7" s="46">
        <f t="shared" si="16"/>
        <v>2014</v>
      </c>
      <c r="AP7" s="46">
        <f>[4]Information!Y13</f>
        <v>0</v>
      </c>
      <c r="AQ7" s="46">
        <f>[4]Information!Z13</f>
        <v>0</v>
      </c>
      <c r="AR7" s="46">
        <f>[4]Information!AA13</f>
        <v>0</v>
      </c>
      <c r="AS7" s="46">
        <f>[4]Information!AB13</f>
        <v>0</v>
      </c>
      <c r="AT7" s="52"/>
      <c r="AU7" s="46">
        <f t="shared" si="6"/>
        <v>0</v>
      </c>
      <c r="AV7" s="46">
        <f t="shared" si="7"/>
        <v>0</v>
      </c>
      <c r="AX7" s="46">
        <f t="shared" si="17"/>
        <v>2014</v>
      </c>
      <c r="AY7" s="46">
        <f>[3]Information!Y13</f>
        <v>0</v>
      </c>
      <c r="AZ7" s="46">
        <f>[3]Information!Z13</f>
        <v>1</v>
      </c>
      <c r="BA7" s="46">
        <f>[3]Information!AA13</f>
        <v>0</v>
      </c>
      <c r="BB7" s="46">
        <f>[3]Information!AB13</f>
        <v>0</v>
      </c>
      <c r="BC7" s="52"/>
      <c r="BD7" s="46">
        <f t="shared" si="8"/>
        <v>1</v>
      </c>
      <c r="BE7" s="46">
        <f t="shared" si="9"/>
        <v>0</v>
      </c>
      <c r="BG7" s="46">
        <f t="shared" si="18"/>
        <v>2014</v>
      </c>
      <c r="BH7" s="46">
        <f>[5]Information!Y13</f>
        <v>18</v>
      </c>
      <c r="BI7" s="46">
        <f>[5]Information!Z13</f>
        <v>2</v>
      </c>
      <c r="BJ7" s="46">
        <f>[5]Information!AA13</f>
        <v>6</v>
      </c>
      <c r="BK7" s="46">
        <f>[5]Information!AB13</f>
        <v>0</v>
      </c>
      <c r="BL7" s="52"/>
      <c r="BM7" s="46">
        <f t="shared" si="10"/>
        <v>20</v>
      </c>
      <c r="BN7" s="46">
        <f t="shared" si="11"/>
        <v>6</v>
      </c>
      <c r="BP7" s="46">
        <f t="shared" si="19"/>
        <v>2014</v>
      </c>
      <c r="BQ7" s="46">
        <f>[6]Information!Y13</f>
        <v>0</v>
      </c>
      <c r="BR7" s="46">
        <f>[6]Information!Z13</f>
        <v>2</v>
      </c>
      <c r="BS7" s="46">
        <f>[6]Information!AA13</f>
        <v>0</v>
      </c>
      <c r="BT7" s="46">
        <f>[6]Information!AB13</f>
        <v>5</v>
      </c>
      <c r="BU7" s="52"/>
      <c r="BV7" s="46">
        <f t="shared" si="12"/>
        <v>2</v>
      </c>
      <c r="BW7" s="46">
        <f t="shared" si="13"/>
        <v>5</v>
      </c>
    </row>
    <row r="8" spans="1:75" ht="15" thickBot="1" x14ac:dyDescent="0.35">
      <c r="A8" s="92" t="s">
        <v>15</v>
      </c>
      <c r="B8" s="11" t="s">
        <v>30</v>
      </c>
      <c r="C8" s="11">
        <f>[3]Information!$V$9</f>
        <v>0</v>
      </c>
      <c r="D8" s="11">
        <f>[3]Information!$V$10</f>
        <v>0</v>
      </c>
      <c r="E8" s="11">
        <f>[3]Information!$V$11</f>
        <v>0</v>
      </c>
      <c r="F8" s="11">
        <f>[3]Information!$V$12</f>
        <v>0</v>
      </c>
      <c r="G8" s="11">
        <f>[3]Information!$V$13</f>
        <v>1</v>
      </c>
      <c r="H8" s="11">
        <f>[3]Information!$V$14</f>
        <v>8</v>
      </c>
      <c r="I8" s="11">
        <f>[3]Information!$V$15</f>
        <v>19</v>
      </c>
      <c r="J8" s="12">
        <f>[3]Information!$V$16</f>
        <v>1</v>
      </c>
      <c r="K8" s="12">
        <f>[3]Information!$V$17</f>
        <v>0</v>
      </c>
      <c r="L8" s="12">
        <f>[3]Information!$V$18</f>
        <v>0</v>
      </c>
      <c r="M8" s="12">
        <f>[3]Information!$V$19</f>
        <v>0</v>
      </c>
      <c r="N8" s="12">
        <f>[3]Information!$V$20</f>
        <v>0</v>
      </c>
      <c r="O8" s="12">
        <f>[3]Information!$V$21</f>
        <v>0</v>
      </c>
      <c r="P8" s="12">
        <f>[3]Information!$V$22</f>
        <v>0</v>
      </c>
      <c r="Q8" s="12">
        <f>[3]Information!$V$23</f>
        <v>0</v>
      </c>
      <c r="R8" s="12">
        <f>[3]Information!$V$24</f>
        <v>0</v>
      </c>
      <c r="S8">
        <f t="shared" si="1"/>
        <v>29</v>
      </c>
      <c r="T8" s="94">
        <f>SUM(S8:S9)</f>
        <v>94</v>
      </c>
      <c r="U8" s="94">
        <f>S9</f>
        <v>65</v>
      </c>
      <c r="W8" s="46">
        <f t="shared" si="14"/>
        <v>2015</v>
      </c>
      <c r="X8" s="46">
        <f>[1]Information!Y14</f>
        <v>18</v>
      </c>
      <c r="Y8" s="46">
        <f>[1]Information!Z14</f>
        <v>24</v>
      </c>
      <c r="Z8" s="46">
        <f>[1]Information!AA14</f>
        <v>49</v>
      </c>
      <c r="AA8" s="46">
        <f>[1]Information!AB14</f>
        <v>9</v>
      </c>
      <c r="AB8" s="52"/>
      <c r="AC8" s="46">
        <f t="shared" si="2"/>
        <v>42</v>
      </c>
      <c r="AD8" s="46">
        <f t="shared" si="3"/>
        <v>58</v>
      </c>
      <c r="AF8" s="46">
        <f t="shared" si="15"/>
        <v>2015</v>
      </c>
      <c r="AG8" s="46">
        <f>[2]Information!Y14</f>
        <v>17</v>
      </c>
      <c r="AH8" s="46">
        <f>[2]Information!Z14</f>
        <v>14</v>
      </c>
      <c r="AI8" s="46">
        <f>[2]Information!AA14</f>
        <v>1</v>
      </c>
      <c r="AJ8" s="46">
        <f>[2]Information!AB14</f>
        <v>3</v>
      </c>
      <c r="AK8" s="52"/>
      <c r="AL8" s="46">
        <f t="shared" si="4"/>
        <v>31</v>
      </c>
      <c r="AM8" s="46">
        <f t="shared" si="5"/>
        <v>4</v>
      </c>
      <c r="AO8" s="46">
        <f t="shared" si="16"/>
        <v>2015</v>
      </c>
      <c r="AP8" s="46">
        <f>[4]Information!Y14</f>
        <v>0</v>
      </c>
      <c r="AQ8" s="46">
        <f>[4]Information!Z14</f>
        <v>0</v>
      </c>
      <c r="AR8" s="46">
        <f>[4]Information!AA14</f>
        <v>0</v>
      </c>
      <c r="AS8" s="46">
        <f>[4]Information!AB14</f>
        <v>0</v>
      </c>
      <c r="AT8" s="52"/>
      <c r="AU8" s="46">
        <f t="shared" si="6"/>
        <v>0</v>
      </c>
      <c r="AV8" s="46">
        <f t="shared" si="7"/>
        <v>0</v>
      </c>
      <c r="AX8" s="46">
        <f t="shared" si="17"/>
        <v>2015</v>
      </c>
      <c r="AY8" s="46">
        <f>[3]Information!Y14</f>
        <v>0</v>
      </c>
      <c r="AZ8" s="46">
        <f>[3]Information!Z14</f>
        <v>4</v>
      </c>
      <c r="BA8" s="46">
        <f>[3]Information!AA14</f>
        <v>32</v>
      </c>
      <c r="BB8" s="46">
        <f>[3]Information!AB14</f>
        <v>2</v>
      </c>
      <c r="BC8" s="52"/>
      <c r="BD8" s="46">
        <f t="shared" si="8"/>
        <v>4</v>
      </c>
      <c r="BE8" s="46">
        <f t="shared" si="9"/>
        <v>34</v>
      </c>
      <c r="BG8" s="46">
        <f t="shared" si="18"/>
        <v>2015</v>
      </c>
      <c r="BH8" s="46">
        <f>[5]Information!Y14</f>
        <v>15</v>
      </c>
      <c r="BI8" s="46">
        <f>[5]Information!Z14</f>
        <v>6</v>
      </c>
      <c r="BJ8" s="46">
        <f>[5]Information!AA14</f>
        <v>6</v>
      </c>
      <c r="BK8" s="46">
        <f>[5]Information!AB14</f>
        <v>3</v>
      </c>
      <c r="BL8" s="52"/>
      <c r="BM8" s="46">
        <f t="shared" si="10"/>
        <v>21</v>
      </c>
      <c r="BN8" s="46">
        <f t="shared" si="11"/>
        <v>9</v>
      </c>
      <c r="BP8" s="46">
        <f t="shared" si="19"/>
        <v>2015</v>
      </c>
      <c r="BQ8" s="46">
        <f>[6]Information!Y14</f>
        <v>0</v>
      </c>
      <c r="BR8" s="46">
        <f>[6]Information!Z14</f>
        <v>3</v>
      </c>
      <c r="BS8" s="46">
        <f>[6]Information!AA14</f>
        <v>0</v>
      </c>
      <c r="BT8" s="46">
        <f>[6]Information!AB14</f>
        <v>33</v>
      </c>
      <c r="BU8" s="52"/>
      <c r="BV8" s="46">
        <f t="shared" si="12"/>
        <v>3</v>
      </c>
      <c r="BW8" s="46">
        <f t="shared" si="13"/>
        <v>33</v>
      </c>
    </row>
    <row r="9" spans="1:75" ht="15.6" thickTop="1" thickBot="1" x14ac:dyDescent="0.35">
      <c r="A9" s="93"/>
      <c r="B9" s="13" t="s">
        <v>31</v>
      </c>
      <c r="C9" s="13">
        <f>[3]Information!$W$9</f>
        <v>0</v>
      </c>
      <c r="D9" s="13">
        <f>[3]Information!$W$10</f>
        <v>0</v>
      </c>
      <c r="E9" s="13">
        <f>[3]Information!$W$11</f>
        <v>0</v>
      </c>
      <c r="F9" s="13">
        <f>[3]Information!$W$12</f>
        <v>0</v>
      </c>
      <c r="G9" s="13">
        <f>[3]Information!$W$13</f>
        <v>0</v>
      </c>
      <c r="H9" s="13">
        <f>[3]Information!$W$14</f>
        <v>30</v>
      </c>
      <c r="I9" s="13">
        <f>[3]Information!$W$15</f>
        <v>35</v>
      </c>
      <c r="J9" s="14">
        <f>[3]Information!$W$16</f>
        <v>0</v>
      </c>
      <c r="K9" s="14">
        <f>[3]Information!$W$17</f>
        <v>0</v>
      </c>
      <c r="L9" s="14">
        <f>[3]Information!$W$18</f>
        <v>0</v>
      </c>
      <c r="M9" s="14">
        <f>[3]Information!$W$19</f>
        <v>0</v>
      </c>
      <c r="N9" s="14">
        <f>[3]Information!$W$20</f>
        <v>0</v>
      </c>
      <c r="O9" s="14">
        <f>[3]Information!$W$21</f>
        <v>0</v>
      </c>
      <c r="P9" s="14">
        <f>[3]Information!$W$22</f>
        <v>0</v>
      </c>
      <c r="Q9" s="14">
        <f>[3]Information!$W$23</f>
        <v>0</v>
      </c>
      <c r="R9" s="14">
        <f>[3]Information!$W$24</f>
        <v>0</v>
      </c>
      <c r="S9">
        <f t="shared" si="1"/>
        <v>65</v>
      </c>
      <c r="T9" s="94"/>
      <c r="U9" s="94"/>
      <c r="W9" s="46">
        <f t="shared" si="14"/>
        <v>2016</v>
      </c>
      <c r="X9" s="46">
        <f>[1]Information!Y15</f>
        <v>29</v>
      </c>
      <c r="Y9" s="46">
        <f>[1]Information!Z15</f>
        <v>23</v>
      </c>
      <c r="Z9" s="46">
        <f>[1]Information!AA15</f>
        <v>98</v>
      </c>
      <c r="AA9" s="46">
        <f>[1]Information!AB15</f>
        <v>18</v>
      </c>
      <c r="AB9" s="52"/>
      <c r="AC9" s="46">
        <f t="shared" si="2"/>
        <v>52</v>
      </c>
      <c r="AD9" s="46">
        <f t="shared" si="3"/>
        <v>116</v>
      </c>
      <c r="AF9" s="46">
        <f t="shared" si="15"/>
        <v>2016</v>
      </c>
      <c r="AG9" s="46">
        <f>[2]Information!Y15</f>
        <v>12</v>
      </c>
      <c r="AH9" s="46">
        <f>[2]Information!Z15</f>
        <v>11</v>
      </c>
      <c r="AI9" s="46">
        <f>[2]Information!AA15</f>
        <v>10</v>
      </c>
      <c r="AJ9" s="46">
        <f>[2]Information!AB15</f>
        <v>4</v>
      </c>
      <c r="AK9" s="52"/>
      <c r="AL9" s="46">
        <f t="shared" si="4"/>
        <v>23</v>
      </c>
      <c r="AM9" s="46">
        <f t="shared" si="5"/>
        <v>14</v>
      </c>
      <c r="AO9" s="46">
        <f t="shared" si="16"/>
        <v>2016</v>
      </c>
      <c r="AP9" s="46">
        <f>[4]Information!Y15</f>
        <v>0</v>
      </c>
      <c r="AQ9" s="46">
        <f>[4]Information!Z15</f>
        <v>2</v>
      </c>
      <c r="AR9" s="46">
        <f>[4]Information!AA15</f>
        <v>0</v>
      </c>
      <c r="AS9" s="46">
        <f>[4]Information!AB15</f>
        <v>0</v>
      </c>
      <c r="AT9" s="52"/>
      <c r="AU9" s="46">
        <f t="shared" si="6"/>
        <v>2</v>
      </c>
      <c r="AV9" s="46">
        <f t="shared" si="7"/>
        <v>0</v>
      </c>
      <c r="AX9" s="46">
        <f t="shared" si="17"/>
        <v>2016</v>
      </c>
      <c r="AY9" s="46">
        <f>[3]Information!Y15</f>
        <v>0</v>
      </c>
      <c r="AZ9" s="46">
        <f>[3]Information!Z15</f>
        <v>1</v>
      </c>
      <c r="BA9" s="46">
        <f>[3]Information!AA15</f>
        <v>49</v>
      </c>
      <c r="BB9" s="46">
        <f>[3]Information!AB15</f>
        <v>4</v>
      </c>
      <c r="BC9" s="52"/>
      <c r="BD9" s="46">
        <f t="shared" si="8"/>
        <v>1</v>
      </c>
      <c r="BE9" s="46">
        <f t="shared" si="9"/>
        <v>53</v>
      </c>
      <c r="BG9" s="46">
        <f t="shared" si="18"/>
        <v>2016</v>
      </c>
      <c r="BH9" s="46">
        <f>[5]Information!Y15</f>
        <v>15</v>
      </c>
      <c r="BI9" s="46">
        <f>[5]Information!Z15</f>
        <v>1</v>
      </c>
      <c r="BJ9" s="46">
        <f>[5]Information!AA15</f>
        <v>5</v>
      </c>
      <c r="BK9" s="46">
        <f>[5]Information!AB15</f>
        <v>1</v>
      </c>
      <c r="BL9" s="52"/>
      <c r="BM9" s="46">
        <f t="shared" si="10"/>
        <v>16</v>
      </c>
      <c r="BN9" s="46">
        <f t="shared" si="11"/>
        <v>6</v>
      </c>
      <c r="BP9" s="46">
        <f t="shared" si="19"/>
        <v>2016</v>
      </c>
      <c r="BQ9" s="46">
        <f>[6]Information!Y15</f>
        <v>0</v>
      </c>
      <c r="BR9" s="46">
        <f>[6]Information!Z15</f>
        <v>2</v>
      </c>
      <c r="BS9" s="46">
        <f>[6]Information!AA15</f>
        <v>0</v>
      </c>
      <c r="BT9" s="46">
        <f>[6]Information!AB15</f>
        <v>39</v>
      </c>
      <c r="BU9" s="52"/>
      <c r="BV9" s="46">
        <f t="shared" si="12"/>
        <v>2</v>
      </c>
      <c r="BW9" s="46">
        <f t="shared" si="13"/>
        <v>39</v>
      </c>
    </row>
    <row r="10" spans="1:75" ht="15" thickBot="1" x14ac:dyDescent="0.35">
      <c r="A10" s="92" t="s">
        <v>14</v>
      </c>
      <c r="B10" s="11" t="s">
        <v>30</v>
      </c>
      <c r="C10" s="11">
        <f>[5]Information!$V$9</f>
        <v>19</v>
      </c>
      <c r="D10" s="11">
        <f>[5]Information!$V$10</f>
        <v>15</v>
      </c>
      <c r="E10" s="11">
        <f>[5]Information!$V$11</f>
        <v>7</v>
      </c>
      <c r="F10" s="11">
        <f>[5]Information!$V$12</f>
        <v>28</v>
      </c>
      <c r="G10" s="11">
        <f>[5]Information!$V$13</f>
        <v>26</v>
      </c>
      <c r="H10" s="11">
        <f>[5]Information!$V$14</f>
        <v>30</v>
      </c>
      <c r="I10" s="11">
        <f>[5]Information!$V$15</f>
        <v>21</v>
      </c>
      <c r="J10" s="12">
        <f>[5]Information!$V$16</f>
        <v>27</v>
      </c>
      <c r="K10" s="12">
        <f>[5]Information!$V$17</f>
        <v>4</v>
      </c>
      <c r="L10" s="12">
        <f>[5]Information!$V$18</f>
        <v>0</v>
      </c>
      <c r="M10" s="12">
        <f>[5]Information!$V$19</f>
        <v>0</v>
      </c>
      <c r="N10" s="12">
        <f>[5]Information!$V$20</f>
        <v>0</v>
      </c>
      <c r="O10" s="12">
        <f>[5]Information!$V$21</f>
        <v>0</v>
      </c>
      <c r="P10" s="12">
        <f>[5]Information!$V$22</f>
        <v>0</v>
      </c>
      <c r="Q10" s="12">
        <f>[5]Information!$V$23</f>
        <v>0</v>
      </c>
      <c r="R10" s="12">
        <f>[5]Information!$V$24</f>
        <v>0</v>
      </c>
      <c r="S10">
        <f t="shared" si="1"/>
        <v>177</v>
      </c>
      <c r="T10" s="94">
        <f>SUM(S10:S11)</f>
        <v>185</v>
      </c>
      <c r="U10" s="94">
        <f>S11</f>
        <v>8</v>
      </c>
      <c r="W10" s="46">
        <f t="shared" si="14"/>
        <v>2017</v>
      </c>
      <c r="X10" s="46">
        <f>[1]Information!Y16</f>
        <v>22</v>
      </c>
      <c r="Y10" s="46">
        <f>[1]Information!Z16</f>
        <v>19</v>
      </c>
      <c r="Z10" s="46">
        <f>[1]Information!AA16</f>
        <v>78</v>
      </c>
      <c r="AA10" s="46">
        <f>[1]Information!AB16</f>
        <v>15</v>
      </c>
      <c r="AB10" s="52"/>
      <c r="AC10" s="46">
        <f t="shared" si="2"/>
        <v>41</v>
      </c>
      <c r="AD10" s="46">
        <f t="shared" si="3"/>
        <v>93</v>
      </c>
      <c r="AF10" s="46">
        <f t="shared" si="15"/>
        <v>2017</v>
      </c>
      <c r="AG10" s="46">
        <f>[2]Information!Y16</f>
        <v>4</v>
      </c>
      <c r="AH10" s="46">
        <f>[2]Information!Z16</f>
        <v>10</v>
      </c>
      <c r="AI10" s="46">
        <f>[2]Information!AA16</f>
        <v>5</v>
      </c>
      <c r="AJ10" s="46">
        <f>[2]Information!AB16</f>
        <v>1</v>
      </c>
      <c r="AK10" s="52"/>
      <c r="AL10" s="46">
        <f t="shared" si="4"/>
        <v>14</v>
      </c>
      <c r="AM10" s="46">
        <f t="shared" si="5"/>
        <v>6</v>
      </c>
      <c r="AO10" s="46">
        <f t="shared" si="16"/>
        <v>2017</v>
      </c>
      <c r="AP10" s="46">
        <f>[4]Information!Y16</f>
        <v>0</v>
      </c>
      <c r="AQ10" s="46">
        <f>[4]Information!Z16</f>
        <v>4</v>
      </c>
      <c r="AR10" s="46">
        <f>[4]Information!AA16</f>
        <v>0</v>
      </c>
      <c r="AS10" s="46">
        <f>[4]Information!AB16</f>
        <v>0</v>
      </c>
      <c r="AT10" s="52"/>
      <c r="AU10" s="46">
        <f t="shared" si="6"/>
        <v>4</v>
      </c>
      <c r="AV10" s="46">
        <f t="shared" si="7"/>
        <v>0</v>
      </c>
      <c r="AX10" s="46">
        <f t="shared" si="17"/>
        <v>2017</v>
      </c>
      <c r="AY10" s="46">
        <f>[3]Information!Y16</f>
        <v>1</v>
      </c>
      <c r="AZ10" s="46">
        <f>[3]Information!Z16</f>
        <v>0</v>
      </c>
      <c r="BA10" s="46">
        <f>[3]Information!AA16</f>
        <v>0</v>
      </c>
      <c r="BB10" s="46">
        <f>[3]Information!AB16</f>
        <v>0</v>
      </c>
      <c r="BC10" s="52"/>
      <c r="BD10" s="46">
        <f t="shared" si="8"/>
        <v>1</v>
      </c>
      <c r="BE10" s="46">
        <f t="shared" si="9"/>
        <v>0</v>
      </c>
      <c r="BG10" s="46">
        <f t="shared" si="18"/>
        <v>2017</v>
      </c>
      <c r="BH10" s="46">
        <f>[5]Information!Y16</f>
        <v>27</v>
      </c>
      <c r="BI10" s="46">
        <f>[5]Information!Z16</f>
        <v>4</v>
      </c>
      <c r="BJ10" s="46">
        <f>[5]Information!AA16</f>
        <v>0</v>
      </c>
      <c r="BK10" s="46">
        <f>[5]Information!AB16</f>
        <v>0</v>
      </c>
      <c r="BL10" s="52"/>
      <c r="BM10" s="46">
        <f t="shared" si="10"/>
        <v>31</v>
      </c>
      <c r="BN10" s="46">
        <f t="shared" si="11"/>
        <v>0</v>
      </c>
      <c r="BP10" s="46">
        <f t="shared" si="19"/>
        <v>2017</v>
      </c>
      <c r="BQ10" s="46">
        <f>[6]Information!Y16</f>
        <v>0</v>
      </c>
      <c r="BR10" s="46">
        <f>[6]Information!Z16</f>
        <v>12</v>
      </c>
      <c r="BS10" s="46">
        <f>[6]Information!AA16</f>
        <v>0</v>
      </c>
      <c r="BT10" s="46">
        <f>[6]Information!AB16</f>
        <v>13</v>
      </c>
      <c r="BU10" s="52"/>
      <c r="BV10" s="46">
        <f t="shared" si="12"/>
        <v>12</v>
      </c>
      <c r="BW10" s="46">
        <f t="shared" si="13"/>
        <v>13</v>
      </c>
    </row>
    <row r="11" spans="1:75" ht="15.6" thickTop="1" thickBot="1" x14ac:dyDescent="0.35">
      <c r="A11" s="93"/>
      <c r="B11" s="13" t="s">
        <v>31</v>
      </c>
      <c r="C11" s="13">
        <f>[5]Information!$W$9</f>
        <v>0</v>
      </c>
      <c r="D11" s="13">
        <f>[5]Information!$W$10</f>
        <v>0</v>
      </c>
      <c r="E11" s="13">
        <f>[5]Information!$W$11</f>
        <v>0</v>
      </c>
      <c r="F11" s="13">
        <f>[5]Information!$W$12</f>
        <v>0</v>
      </c>
      <c r="G11" s="13">
        <f>[5]Information!$W$13</f>
        <v>0</v>
      </c>
      <c r="H11" s="13">
        <f>[5]Information!$W$14</f>
        <v>0</v>
      </c>
      <c r="I11" s="13">
        <f>[5]Information!$W$15</f>
        <v>1</v>
      </c>
      <c r="J11" s="14">
        <f>[5]Information!$W$16</f>
        <v>4</v>
      </c>
      <c r="K11" s="14">
        <f>[5]Information!$W$17</f>
        <v>3</v>
      </c>
      <c r="L11" s="14">
        <f>[5]Information!$W$18</f>
        <v>0</v>
      </c>
      <c r="M11" s="14">
        <f>[5]Information!$W$19</f>
        <v>0</v>
      </c>
      <c r="N11" s="14">
        <f>[5]Information!$W$20</f>
        <v>0</v>
      </c>
      <c r="O11" s="14">
        <f>[5]Information!$W$21</f>
        <v>0</v>
      </c>
      <c r="P11" s="14">
        <f>[5]Information!$W$22</f>
        <v>0</v>
      </c>
      <c r="Q11" s="14">
        <f>[5]Information!$W$23</f>
        <v>0</v>
      </c>
      <c r="R11" s="14">
        <f>[5]Information!$W$24</f>
        <v>0</v>
      </c>
      <c r="S11">
        <f t="shared" si="1"/>
        <v>8</v>
      </c>
      <c r="T11" s="94"/>
      <c r="U11" s="94"/>
      <c r="W11" s="46">
        <f t="shared" si="14"/>
        <v>2018</v>
      </c>
      <c r="X11" s="46">
        <f>[1]Information!Y17</f>
        <v>4</v>
      </c>
      <c r="Y11" s="46">
        <f>[1]Information!Z17</f>
        <v>13</v>
      </c>
      <c r="Z11" s="46">
        <f>[1]Information!AA17</f>
        <v>12</v>
      </c>
      <c r="AA11" s="46">
        <f>[1]Information!AB17</f>
        <v>6</v>
      </c>
      <c r="AB11" s="53"/>
      <c r="AC11" s="46">
        <f t="shared" si="2"/>
        <v>17</v>
      </c>
      <c r="AD11" s="46">
        <f t="shared" si="3"/>
        <v>18</v>
      </c>
      <c r="AF11" s="46">
        <f t="shared" si="15"/>
        <v>2018</v>
      </c>
      <c r="AG11" s="46">
        <f>[2]Information!Y17</f>
        <v>1</v>
      </c>
      <c r="AH11" s="46">
        <f>[2]Information!Z17</f>
        <v>7</v>
      </c>
      <c r="AI11" s="46">
        <f>[2]Information!AA17</f>
        <v>2</v>
      </c>
      <c r="AJ11" s="46">
        <f>[2]Information!AB17</f>
        <v>1</v>
      </c>
      <c r="AK11" s="53"/>
      <c r="AL11" s="46">
        <f t="shared" si="4"/>
        <v>8</v>
      </c>
      <c r="AM11" s="46">
        <f t="shared" si="5"/>
        <v>3</v>
      </c>
      <c r="AO11" s="46">
        <f t="shared" si="16"/>
        <v>2018</v>
      </c>
      <c r="AP11" s="46">
        <f>[4]Information!Y17</f>
        <v>0</v>
      </c>
      <c r="AQ11" s="46">
        <f>[4]Information!Z17</f>
        <v>0</v>
      </c>
      <c r="AR11" s="46">
        <f>[4]Information!AA17</f>
        <v>0</v>
      </c>
      <c r="AS11" s="46">
        <f>[4]Information!AB17</f>
        <v>0</v>
      </c>
      <c r="AT11" s="53"/>
      <c r="AU11" s="46">
        <f t="shared" si="6"/>
        <v>0</v>
      </c>
      <c r="AV11" s="46">
        <f t="shared" si="7"/>
        <v>0</v>
      </c>
      <c r="AX11" s="46">
        <f t="shared" si="17"/>
        <v>2018</v>
      </c>
      <c r="AY11" s="46">
        <f>[3]Information!Y17</f>
        <v>0</v>
      </c>
      <c r="AZ11" s="46">
        <f>[3]Information!Z17</f>
        <v>0</v>
      </c>
      <c r="BA11" s="46">
        <f>[3]Information!AA17</f>
        <v>0</v>
      </c>
      <c r="BB11" s="46">
        <f>[3]Information!AB17</f>
        <v>0</v>
      </c>
      <c r="BC11" s="53"/>
      <c r="BD11" s="46">
        <f t="shared" si="8"/>
        <v>0</v>
      </c>
      <c r="BE11" s="46">
        <f t="shared" si="9"/>
        <v>0</v>
      </c>
      <c r="BG11" s="46">
        <f t="shared" si="18"/>
        <v>2018</v>
      </c>
      <c r="BH11" s="46">
        <f>[5]Information!Y17</f>
        <v>4</v>
      </c>
      <c r="BI11" s="46">
        <f>[5]Information!Z17</f>
        <v>1</v>
      </c>
      <c r="BJ11" s="46">
        <f>[5]Information!AA17</f>
        <v>2</v>
      </c>
      <c r="BK11" s="46">
        <f>[5]Information!AB17</f>
        <v>0</v>
      </c>
      <c r="BL11" s="53"/>
      <c r="BM11" s="46">
        <f t="shared" si="10"/>
        <v>5</v>
      </c>
      <c r="BN11" s="46">
        <f t="shared" si="11"/>
        <v>2</v>
      </c>
      <c r="BP11" s="46">
        <f t="shared" si="19"/>
        <v>2018</v>
      </c>
      <c r="BQ11" s="46">
        <f>[6]Information!Y17</f>
        <v>0</v>
      </c>
      <c r="BR11" s="46">
        <f>[6]Information!Z17</f>
        <v>0</v>
      </c>
      <c r="BS11" s="46">
        <f>[6]Information!AA17</f>
        <v>0</v>
      </c>
      <c r="BT11" s="46">
        <f>[6]Information!AB17</f>
        <v>8</v>
      </c>
      <c r="BU11" s="53"/>
      <c r="BV11" s="46">
        <f t="shared" si="12"/>
        <v>0</v>
      </c>
      <c r="BW11" s="46">
        <f t="shared" si="13"/>
        <v>8</v>
      </c>
    </row>
    <row r="12" spans="1:75" ht="15" thickBot="1" x14ac:dyDescent="0.35">
      <c r="A12" s="92" t="s">
        <v>19</v>
      </c>
      <c r="B12" s="11" t="s">
        <v>30</v>
      </c>
      <c r="C12" s="11">
        <f>[6]Information!$V$9</f>
        <v>2</v>
      </c>
      <c r="D12" s="11">
        <f>[6]Information!$V$10</f>
        <v>9</v>
      </c>
      <c r="E12" s="11">
        <f>[6]Information!$V$11</f>
        <v>6</v>
      </c>
      <c r="F12" s="11">
        <f>[6]Information!$V$12</f>
        <v>14</v>
      </c>
      <c r="G12" s="11">
        <f>[6]Information!$V$13</f>
        <v>7</v>
      </c>
      <c r="H12" s="11">
        <f>[6]Information!$V$14</f>
        <v>23</v>
      </c>
      <c r="I12" s="11">
        <f>[6]Information!$V$15</f>
        <v>30</v>
      </c>
      <c r="J12" s="12">
        <f>[6]Information!$V$16</f>
        <v>10</v>
      </c>
      <c r="K12" s="12">
        <f>[6]Information!$V$17</f>
        <v>3</v>
      </c>
      <c r="L12" s="12">
        <f>[6]Information!$V$18</f>
        <v>0</v>
      </c>
      <c r="M12" s="12">
        <f>[6]Information!$V$19</f>
        <v>0</v>
      </c>
      <c r="N12" s="12">
        <f>[6]Information!$V$20</f>
        <v>0</v>
      </c>
      <c r="O12" s="12">
        <f>[6]Information!$V$21</f>
        <v>0</v>
      </c>
      <c r="P12" s="12">
        <f>[6]Information!$V$22</f>
        <v>0</v>
      </c>
      <c r="Q12" s="12">
        <f>[6]Information!$V$23</f>
        <v>0</v>
      </c>
      <c r="R12" s="12">
        <f>[6]Information!$V$24</f>
        <v>0</v>
      </c>
      <c r="S12">
        <f t="shared" si="1"/>
        <v>104</v>
      </c>
      <c r="T12" s="94">
        <f>SUM(S12:S13)</f>
        <v>150</v>
      </c>
      <c r="U12" s="94">
        <f>S13</f>
        <v>46</v>
      </c>
      <c r="W12" s="46">
        <f t="shared" ref="W12:W18" si="20">W11+1</f>
        <v>2019</v>
      </c>
      <c r="X12" s="46">
        <f>[1]Information!Y18</f>
        <v>0</v>
      </c>
      <c r="Y12" s="46">
        <f>[1]Information!Z18</f>
        <v>0</v>
      </c>
      <c r="Z12" s="46">
        <f>[1]Information!AA18</f>
        <v>0</v>
      </c>
      <c r="AA12" s="46">
        <f>[1]Information!AB18</f>
        <v>0</v>
      </c>
      <c r="AB12" s="53"/>
      <c r="AC12" s="46">
        <f t="shared" ref="AC12:AC18" si="21">SUM(X12:Y12)</f>
        <v>0</v>
      </c>
      <c r="AD12" s="46">
        <f t="shared" ref="AD12:AD18" si="22">SUM(Z12:AA12)</f>
        <v>0</v>
      </c>
      <c r="AF12" s="46">
        <f t="shared" ref="AF12:AF18" si="23">AF11+1</f>
        <v>2019</v>
      </c>
      <c r="AG12" s="46">
        <f>[2]Information!Y18</f>
        <v>0</v>
      </c>
      <c r="AH12" s="46">
        <f>[2]Information!Z18</f>
        <v>0</v>
      </c>
      <c r="AI12" s="46">
        <f>[2]Information!AA18</f>
        <v>0</v>
      </c>
      <c r="AJ12" s="46">
        <f>[2]Information!AB18</f>
        <v>0</v>
      </c>
      <c r="AK12" s="53"/>
      <c r="AL12" s="46">
        <f t="shared" ref="AL12:AL18" si="24">SUM(AG12:AH12)</f>
        <v>0</v>
      </c>
      <c r="AM12" s="46">
        <f t="shared" ref="AM12:AM18" si="25">SUM(AI12:AJ12)</f>
        <v>0</v>
      </c>
      <c r="AO12" s="46">
        <f t="shared" ref="AO12:AO18" si="26">AO11+1</f>
        <v>2019</v>
      </c>
      <c r="AP12" s="46">
        <f>[4]Information!Y18</f>
        <v>0</v>
      </c>
      <c r="AQ12" s="46">
        <f>[4]Information!Z18</f>
        <v>0</v>
      </c>
      <c r="AR12" s="46">
        <f>[4]Information!AA18</f>
        <v>0</v>
      </c>
      <c r="AS12" s="46">
        <f>[4]Information!AB18</f>
        <v>0</v>
      </c>
      <c r="AT12" s="53"/>
      <c r="AU12" s="46">
        <f t="shared" ref="AU12:AU18" si="27">SUM(AP12:AQ12)</f>
        <v>0</v>
      </c>
      <c r="AV12" s="46">
        <f t="shared" ref="AV12:AV18" si="28">SUM(AR12:AS12)</f>
        <v>0</v>
      </c>
      <c r="AX12" s="46">
        <f t="shared" ref="AX12:AX18" si="29">AX11+1</f>
        <v>2019</v>
      </c>
      <c r="AY12" s="46">
        <f>[3]Information!Y18</f>
        <v>0</v>
      </c>
      <c r="AZ12" s="46">
        <f>[3]Information!Z18</f>
        <v>0</v>
      </c>
      <c r="BA12" s="46">
        <f>[3]Information!AA18</f>
        <v>0</v>
      </c>
      <c r="BB12" s="46">
        <f>[3]Information!AB18</f>
        <v>0</v>
      </c>
      <c r="BC12" s="53"/>
      <c r="BD12" s="46">
        <f t="shared" ref="BD12:BD18" si="30">SUM(AY12:AZ12)</f>
        <v>0</v>
      </c>
      <c r="BE12" s="46">
        <f t="shared" ref="BE12:BE18" si="31">SUM(BA12:BB12)</f>
        <v>0</v>
      </c>
      <c r="BG12" s="46">
        <f t="shared" ref="BG12:BG18" si="32">BG11+1</f>
        <v>2019</v>
      </c>
      <c r="BH12" s="46">
        <f>[5]Information!Y18</f>
        <v>0</v>
      </c>
      <c r="BI12" s="46">
        <f>[5]Information!Z18</f>
        <v>0</v>
      </c>
      <c r="BJ12" s="46">
        <f>[5]Information!AA18</f>
        <v>0</v>
      </c>
      <c r="BK12" s="46">
        <f>[5]Information!AB18</f>
        <v>0</v>
      </c>
      <c r="BL12" s="53"/>
      <c r="BM12" s="46">
        <f t="shared" ref="BM12:BM18" si="33">SUM(BH12:BI12)</f>
        <v>0</v>
      </c>
      <c r="BN12" s="46">
        <f t="shared" ref="BN12:BN18" si="34">SUM(BJ12:BK12)</f>
        <v>0</v>
      </c>
      <c r="BP12" s="46">
        <f t="shared" ref="BP12:BP18" si="35">BP11+1</f>
        <v>2019</v>
      </c>
      <c r="BQ12" s="46">
        <f>[6]Information!Y18</f>
        <v>0</v>
      </c>
      <c r="BR12" s="46">
        <f>[6]Information!Z18</f>
        <v>0</v>
      </c>
      <c r="BS12" s="46">
        <f>[6]Information!AA18</f>
        <v>0</v>
      </c>
      <c r="BT12" s="46">
        <f>[6]Information!AB18</f>
        <v>0</v>
      </c>
      <c r="BU12" s="53"/>
      <c r="BV12" s="46">
        <f t="shared" ref="BV12:BV18" si="36">SUM(BQ12:BR12)</f>
        <v>0</v>
      </c>
      <c r="BW12" s="46">
        <f t="shared" ref="BW12:BW18" si="37">SUM(BS12:BT12)</f>
        <v>0</v>
      </c>
    </row>
    <row r="13" spans="1:75" ht="15.6" thickTop="1" thickBot="1" x14ac:dyDescent="0.35">
      <c r="A13" s="93"/>
      <c r="B13" s="13" t="s">
        <v>31</v>
      </c>
      <c r="C13" s="13">
        <f>[6]Information!$W$9</f>
        <v>0</v>
      </c>
      <c r="D13" s="13">
        <f>[6]Information!$W$10</f>
        <v>0</v>
      </c>
      <c r="E13" s="13">
        <f>[6]Information!$W$11</f>
        <v>0</v>
      </c>
      <c r="F13" s="13">
        <f>[6]Information!$W$12</f>
        <v>2</v>
      </c>
      <c r="G13" s="13">
        <f>[6]Information!$W$13</f>
        <v>0</v>
      </c>
      <c r="H13" s="13">
        <f>[6]Information!$W$14</f>
        <v>13</v>
      </c>
      <c r="I13" s="13">
        <f>[6]Information!$W$15</f>
        <v>11</v>
      </c>
      <c r="J13" s="14">
        <f>[6]Information!$W$16</f>
        <v>15</v>
      </c>
      <c r="K13" s="14">
        <f>[6]Information!$W$17</f>
        <v>5</v>
      </c>
      <c r="L13" s="14">
        <f>[6]Information!$W$18</f>
        <v>0</v>
      </c>
      <c r="M13" s="14">
        <f>[6]Information!$W$19</f>
        <v>0</v>
      </c>
      <c r="N13" s="14">
        <f>[6]Information!$W$20</f>
        <v>0</v>
      </c>
      <c r="O13" s="14">
        <f>[6]Information!$W$21</f>
        <v>0</v>
      </c>
      <c r="P13" s="14">
        <f>[6]Information!$W$22</f>
        <v>0</v>
      </c>
      <c r="Q13" s="14">
        <f>[6]Information!$W$23</f>
        <v>0</v>
      </c>
      <c r="R13" s="14">
        <f>[6]Information!$W$24</f>
        <v>0</v>
      </c>
      <c r="S13">
        <f t="shared" si="1"/>
        <v>46</v>
      </c>
      <c r="T13" s="94"/>
      <c r="U13" s="94"/>
      <c r="W13" s="46">
        <f t="shared" si="20"/>
        <v>2020</v>
      </c>
      <c r="X13" s="46">
        <f>[1]Information!Y19</f>
        <v>0</v>
      </c>
      <c r="Y13" s="46">
        <f>[1]Information!Z19</f>
        <v>0</v>
      </c>
      <c r="Z13" s="46">
        <f>[1]Information!AA19</f>
        <v>0</v>
      </c>
      <c r="AA13" s="46">
        <f>[1]Information!AB19</f>
        <v>0</v>
      </c>
      <c r="AB13" s="53"/>
      <c r="AC13" s="46">
        <f t="shared" si="21"/>
        <v>0</v>
      </c>
      <c r="AD13" s="46">
        <f t="shared" si="22"/>
        <v>0</v>
      </c>
      <c r="AF13" s="46">
        <f t="shared" si="23"/>
        <v>2020</v>
      </c>
      <c r="AG13" s="46">
        <f>[2]Information!Y19</f>
        <v>0</v>
      </c>
      <c r="AH13" s="46">
        <f>[2]Information!Z19</f>
        <v>0</v>
      </c>
      <c r="AI13" s="46">
        <f>[2]Information!AA19</f>
        <v>0</v>
      </c>
      <c r="AJ13" s="46">
        <f>[2]Information!AB19</f>
        <v>0</v>
      </c>
      <c r="AK13" s="53"/>
      <c r="AL13" s="46">
        <f t="shared" si="24"/>
        <v>0</v>
      </c>
      <c r="AM13" s="46">
        <f t="shared" si="25"/>
        <v>0</v>
      </c>
      <c r="AO13" s="46">
        <f t="shared" si="26"/>
        <v>2020</v>
      </c>
      <c r="AP13" s="46">
        <f>[4]Information!Y19</f>
        <v>0</v>
      </c>
      <c r="AQ13" s="46">
        <f>[4]Information!Z19</f>
        <v>0</v>
      </c>
      <c r="AR13" s="46">
        <f>[4]Information!AA19</f>
        <v>0</v>
      </c>
      <c r="AS13" s="46">
        <f>[4]Information!AB19</f>
        <v>0</v>
      </c>
      <c r="AT13" s="53"/>
      <c r="AU13" s="46">
        <f t="shared" si="27"/>
        <v>0</v>
      </c>
      <c r="AV13" s="46">
        <f t="shared" si="28"/>
        <v>0</v>
      </c>
      <c r="AX13" s="46">
        <f t="shared" si="29"/>
        <v>2020</v>
      </c>
      <c r="AY13" s="46">
        <f>[3]Information!Y19</f>
        <v>0</v>
      </c>
      <c r="AZ13" s="46">
        <f>[3]Information!Z19</f>
        <v>0</v>
      </c>
      <c r="BA13" s="46">
        <f>[3]Information!AA19</f>
        <v>0</v>
      </c>
      <c r="BB13" s="46">
        <f>[3]Information!AB19</f>
        <v>0</v>
      </c>
      <c r="BC13" s="53"/>
      <c r="BD13" s="46">
        <f t="shared" si="30"/>
        <v>0</v>
      </c>
      <c r="BE13" s="46">
        <f t="shared" si="31"/>
        <v>0</v>
      </c>
      <c r="BG13" s="46">
        <f t="shared" si="32"/>
        <v>2020</v>
      </c>
      <c r="BH13" s="46">
        <f>[5]Information!Y19</f>
        <v>0</v>
      </c>
      <c r="BI13" s="46">
        <f>[5]Information!Z19</f>
        <v>0</v>
      </c>
      <c r="BJ13" s="46">
        <f>[5]Information!AA19</f>
        <v>0</v>
      </c>
      <c r="BK13" s="46">
        <f>[5]Information!AB19</f>
        <v>0</v>
      </c>
      <c r="BL13" s="53"/>
      <c r="BM13" s="46">
        <f t="shared" si="33"/>
        <v>0</v>
      </c>
      <c r="BN13" s="46">
        <f t="shared" si="34"/>
        <v>0</v>
      </c>
      <c r="BP13" s="46">
        <f t="shared" si="35"/>
        <v>2020</v>
      </c>
      <c r="BQ13" s="46">
        <f>[6]Information!Y19</f>
        <v>0</v>
      </c>
      <c r="BR13" s="46">
        <f>[6]Information!Z19</f>
        <v>0</v>
      </c>
      <c r="BS13" s="46">
        <f>[6]Information!AA19</f>
        <v>0</v>
      </c>
      <c r="BT13" s="46">
        <f>[6]Information!AB19</f>
        <v>0</v>
      </c>
      <c r="BU13" s="53"/>
      <c r="BV13" s="46">
        <f t="shared" si="36"/>
        <v>0</v>
      </c>
      <c r="BW13" s="46">
        <f t="shared" si="37"/>
        <v>0</v>
      </c>
    </row>
    <row r="14" spans="1:75" ht="15" thickBot="1" x14ac:dyDescent="0.35">
      <c r="C14" s="15">
        <f t="shared" ref="C14:R14" si="38">SUM(C2:C13)</f>
        <v>195</v>
      </c>
      <c r="D14" s="15">
        <f t="shared" si="38"/>
        <v>145</v>
      </c>
      <c r="E14" s="15">
        <f t="shared" si="38"/>
        <v>163</v>
      </c>
      <c r="F14" s="15">
        <f t="shared" si="38"/>
        <v>215</v>
      </c>
      <c r="G14" s="15">
        <f t="shared" si="38"/>
        <v>189</v>
      </c>
      <c r="H14" s="15">
        <f t="shared" si="38"/>
        <v>239</v>
      </c>
      <c r="I14" s="15">
        <f t="shared" si="38"/>
        <v>324</v>
      </c>
      <c r="J14" s="15">
        <f t="shared" si="38"/>
        <v>215</v>
      </c>
      <c r="K14" s="15">
        <f t="shared" si="38"/>
        <v>61</v>
      </c>
      <c r="L14" s="15">
        <f t="shared" si="38"/>
        <v>0</v>
      </c>
      <c r="M14" s="15">
        <f t="shared" si="38"/>
        <v>0</v>
      </c>
      <c r="N14" s="15">
        <f t="shared" si="38"/>
        <v>0</v>
      </c>
      <c r="O14" s="15">
        <f t="shared" si="38"/>
        <v>0</v>
      </c>
      <c r="P14" s="15">
        <f t="shared" si="38"/>
        <v>0</v>
      </c>
      <c r="Q14" s="15">
        <f t="shared" si="38"/>
        <v>0</v>
      </c>
      <c r="R14" s="15">
        <f t="shared" si="38"/>
        <v>0</v>
      </c>
      <c r="W14" s="46">
        <f t="shared" si="20"/>
        <v>2021</v>
      </c>
      <c r="X14" s="46">
        <f>[1]Information!Y20</f>
        <v>0</v>
      </c>
      <c r="Y14" s="46">
        <f>[1]Information!Z20</f>
        <v>0</v>
      </c>
      <c r="Z14" s="46">
        <f>[1]Information!AA20</f>
        <v>0</v>
      </c>
      <c r="AA14" s="46">
        <f>[1]Information!AB20</f>
        <v>0</v>
      </c>
      <c r="AB14" s="53"/>
      <c r="AC14" s="46">
        <f t="shared" si="21"/>
        <v>0</v>
      </c>
      <c r="AD14" s="46">
        <f t="shared" si="22"/>
        <v>0</v>
      </c>
      <c r="AF14" s="46">
        <f t="shared" si="23"/>
        <v>2021</v>
      </c>
      <c r="AG14" s="46">
        <f>[2]Information!Y20</f>
        <v>0</v>
      </c>
      <c r="AH14" s="46">
        <f>[2]Information!Z20</f>
        <v>0</v>
      </c>
      <c r="AI14" s="46">
        <f>[2]Information!AA20</f>
        <v>0</v>
      </c>
      <c r="AJ14" s="46">
        <f>[2]Information!AB20</f>
        <v>0</v>
      </c>
      <c r="AK14" s="53"/>
      <c r="AL14" s="46">
        <f t="shared" si="24"/>
        <v>0</v>
      </c>
      <c r="AM14" s="46">
        <f t="shared" si="25"/>
        <v>0</v>
      </c>
      <c r="AO14" s="46">
        <f t="shared" si="26"/>
        <v>2021</v>
      </c>
      <c r="AP14" s="46">
        <f>[4]Information!Y20</f>
        <v>0</v>
      </c>
      <c r="AQ14" s="46">
        <f>[4]Information!Z20</f>
        <v>0</v>
      </c>
      <c r="AR14" s="46">
        <f>[4]Information!AA20</f>
        <v>0</v>
      </c>
      <c r="AS14" s="46">
        <f>[4]Information!AB20</f>
        <v>0</v>
      </c>
      <c r="AT14" s="53"/>
      <c r="AU14" s="46">
        <f t="shared" si="27"/>
        <v>0</v>
      </c>
      <c r="AV14" s="46">
        <f t="shared" si="28"/>
        <v>0</v>
      </c>
      <c r="AX14" s="46">
        <f t="shared" si="29"/>
        <v>2021</v>
      </c>
      <c r="AY14" s="46">
        <f>[3]Information!Y20</f>
        <v>0</v>
      </c>
      <c r="AZ14" s="46">
        <f>[3]Information!Z20</f>
        <v>0</v>
      </c>
      <c r="BA14" s="46">
        <f>[3]Information!AA20</f>
        <v>0</v>
      </c>
      <c r="BB14" s="46">
        <f>[3]Information!AB20</f>
        <v>0</v>
      </c>
      <c r="BC14" s="53"/>
      <c r="BD14" s="46">
        <f t="shared" si="30"/>
        <v>0</v>
      </c>
      <c r="BE14" s="46">
        <f t="shared" si="31"/>
        <v>0</v>
      </c>
      <c r="BG14" s="46">
        <f t="shared" si="32"/>
        <v>2021</v>
      </c>
      <c r="BH14" s="46">
        <f>[5]Information!Y20</f>
        <v>0</v>
      </c>
      <c r="BI14" s="46">
        <f>[5]Information!Z20</f>
        <v>0</v>
      </c>
      <c r="BJ14" s="46">
        <f>[5]Information!AA20</f>
        <v>0</v>
      </c>
      <c r="BK14" s="46">
        <f>[5]Information!AB20</f>
        <v>0</v>
      </c>
      <c r="BL14" s="53"/>
      <c r="BM14" s="46">
        <f t="shared" si="33"/>
        <v>0</v>
      </c>
      <c r="BN14" s="46">
        <f t="shared" si="34"/>
        <v>0</v>
      </c>
      <c r="BP14" s="46">
        <f t="shared" si="35"/>
        <v>2021</v>
      </c>
      <c r="BQ14" s="46">
        <f>[6]Information!Y20</f>
        <v>0</v>
      </c>
      <c r="BR14" s="46">
        <f>[6]Information!Z20</f>
        <v>0</v>
      </c>
      <c r="BS14" s="46">
        <f>[6]Information!AA20</f>
        <v>0</v>
      </c>
      <c r="BT14" s="46">
        <f>[6]Information!AB20</f>
        <v>0</v>
      </c>
      <c r="BU14" s="53"/>
      <c r="BV14" s="46">
        <f t="shared" si="36"/>
        <v>0</v>
      </c>
      <c r="BW14" s="46">
        <f t="shared" si="37"/>
        <v>0</v>
      </c>
    </row>
    <row r="15" spans="1:75" ht="15" thickBot="1" x14ac:dyDescent="0.35">
      <c r="W15" s="46">
        <f t="shared" si="20"/>
        <v>2022</v>
      </c>
      <c r="X15" s="46">
        <f>[1]Information!Y21</f>
        <v>0</v>
      </c>
      <c r="Y15" s="46">
        <f>[1]Information!Z21</f>
        <v>0</v>
      </c>
      <c r="Z15" s="46">
        <f>[1]Information!AA21</f>
        <v>0</v>
      </c>
      <c r="AA15" s="46">
        <f>[1]Information!AB21</f>
        <v>0</v>
      </c>
      <c r="AB15" s="53"/>
      <c r="AC15" s="46">
        <f t="shared" si="21"/>
        <v>0</v>
      </c>
      <c r="AD15" s="46">
        <f t="shared" si="22"/>
        <v>0</v>
      </c>
      <c r="AF15" s="46">
        <f t="shared" si="23"/>
        <v>2022</v>
      </c>
      <c r="AG15" s="46">
        <f>[2]Information!Y21</f>
        <v>0</v>
      </c>
      <c r="AH15" s="46">
        <f>[2]Information!Z21</f>
        <v>0</v>
      </c>
      <c r="AI15" s="46">
        <f>[2]Information!AA21</f>
        <v>0</v>
      </c>
      <c r="AJ15" s="46">
        <f>[2]Information!AB21</f>
        <v>0</v>
      </c>
      <c r="AK15" s="53"/>
      <c r="AL15" s="46">
        <f t="shared" si="24"/>
        <v>0</v>
      </c>
      <c r="AM15" s="46">
        <f t="shared" si="25"/>
        <v>0</v>
      </c>
      <c r="AO15" s="46">
        <f t="shared" si="26"/>
        <v>2022</v>
      </c>
      <c r="AP15" s="46">
        <f>[4]Information!Y21</f>
        <v>0</v>
      </c>
      <c r="AQ15" s="46">
        <f>[4]Information!Z21</f>
        <v>0</v>
      </c>
      <c r="AR15" s="46">
        <f>[4]Information!AA21</f>
        <v>0</v>
      </c>
      <c r="AS15" s="46">
        <f>[4]Information!AB21</f>
        <v>0</v>
      </c>
      <c r="AT15" s="53"/>
      <c r="AU15" s="46">
        <f t="shared" si="27"/>
        <v>0</v>
      </c>
      <c r="AV15" s="46">
        <f t="shared" si="28"/>
        <v>0</v>
      </c>
      <c r="AX15" s="46">
        <f t="shared" si="29"/>
        <v>2022</v>
      </c>
      <c r="AY15" s="46">
        <f>[3]Information!Y21</f>
        <v>0</v>
      </c>
      <c r="AZ15" s="46">
        <f>[3]Information!Z21</f>
        <v>0</v>
      </c>
      <c r="BA15" s="46">
        <f>[3]Information!AA21</f>
        <v>0</v>
      </c>
      <c r="BB15" s="46">
        <f>[3]Information!AB21</f>
        <v>0</v>
      </c>
      <c r="BC15" s="53"/>
      <c r="BD15" s="46">
        <f t="shared" si="30"/>
        <v>0</v>
      </c>
      <c r="BE15" s="46">
        <f t="shared" si="31"/>
        <v>0</v>
      </c>
      <c r="BG15" s="46">
        <f t="shared" si="32"/>
        <v>2022</v>
      </c>
      <c r="BH15" s="46">
        <f>[5]Information!Y21</f>
        <v>0</v>
      </c>
      <c r="BI15" s="46">
        <f>[5]Information!Z21</f>
        <v>0</v>
      </c>
      <c r="BJ15" s="46">
        <f>[5]Information!AA21</f>
        <v>0</v>
      </c>
      <c r="BK15" s="46">
        <f>[5]Information!AB21</f>
        <v>0</v>
      </c>
      <c r="BL15" s="53"/>
      <c r="BM15" s="46">
        <f t="shared" si="33"/>
        <v>0</v>
      </c>
      <c r="BN15" s="46">
        <f t="shared" si="34"/>
        <v>0</v>
      </c>
      <c r="BP15" s="46">
        <f t="shared" si="35"/>
        <v>2022</v>
      </c>
      <c r="BQ15" s="46">
        <f>[6]Information!Y21</f>
        <v>0</v>
      </c>
      <c r="BR15" s="46">
        <f>[6]Information!Z21</f>
        <v>0</v>
      </c>
      <c r="BS15" s="46">
        <f>[6]Information!AA21</f>
        <v>0</v>
      </c>
      <c r="BT15" s="46">
        <f>[6]Information!AB21</f>
        <v>0</v>
      </c>
      <c r="BU15" s="53"/>
      <c r="BV15" s="46">
        <f t="shared" si="36"/>
        <v>0</v>
      </c>
      <c r="BW15" s="46">
        <f t="shared" si="37"/>
        <v>0</v>
      </c>
    </row>
    <row r="16" spans="1:75" ht="15.6" thickTop="1" thickBot="1" x14ac:dyDescent="0.35">
      <c r="W16" s="46">
        <f t="shared" si="20"/>
        <v>2023</v>
      </c>
      <c r="X16" s="46">
        <f>[1]Information!Y22</f>
        <v>0</v>
      </c>
      <c r="Y16" s="46">
        <f>[1]Information!Z22</f>
        <v>0</v>
      </c>
      <c r="Z16" s="46">
        <f>[1]Information!AA22</f>
        <v>0</v>
      </c>
      <c r="AA16" s="46">
        <f>[1]Information!AB22</f>
        <v>0</v>
      </c>
      <c r="AB16" s="53"/>
      <c r="AC16" s="46">
        <f t="shared" si="21"/>
        <v>0</v>
      </c>
      <c r="AD16" s="46">
        <f t="shared" si="22"/>
        <v>0</v>
      </c>
      <c r="AF16" s="46">
        <f t="shared" si="23"/>
        <v>2023</v>
      </c>
      <c r="AG16" s="46">
        <f>[2]Information!Y22</f>
        <v>0</v>
      </c>
      <c r="AH16" s="46">
        <f>[2]Information!Z22</f>
        <v>0</v>
      </c>
      <c r="AI16" s="46">
        <f>[2]Information!AA22</f>
        <v>0</v>
      </c>
      <c r="AJ16" s="46">
        <f>[2]Information!AB22</f>
        <v>0</v>
      </c>
      <c r="AK16" s="53"/>
      <c r="AL16" s="46">
        <f t="shared" si="24"/>
        <v>0</v>
      </c>
      <c r="AM16" s="46">
        <f t="shared" si="25"/>
        <v>0</v>
      </c>
      <c r="AO16" s="46">
        <f t="shared" si="26"/>
        <v>2023</v>
      </c>
      <c r="AP16" s="46">
        <f>[4]Information!Y22</f>
        <v>0</v>
      </c>
      <c r="AQ16" s="46">
        <f>[4]Information!Z22</f>
        <v>0</v>
      </c>
      <c r="AR16" s="46">
        <f>[4]Information!AA22</f>
        <v>0</v>
      </c>
      <c r="AS16" s="46">
        <f>[4]Information!AB22</f>
        <v>0</v>
      </c>
      <c r="AT16" s="53"/>
      <c r="AU16" s="46">
        <f t="shared" si="27"/>
        <v>0</v>
      </c>
      <c r="AV16" s="46">
        <f t="shared" si="28"/>
        <v>0</v>
      </c>
      <c r="AX16" s="46">
        <f t="shared" si="29"/>
        <v>2023</v>
      </c>
      <c r="AY16" s="46">
        <f>[3]Information!Y22</f>
        <v>0</v>
      </c>
      <c r="AZ16" s="46">
        <f>[3]Information!Z22</f>
        <v>0</v>
      </c>
      <c r="BA16" s="46">
        <f>[3]Information!AA22</f>
        <v>0</v>
      </c>
      <c r="BB16" s="46">
        <f>[3]Information!AB22</f>
        <v>0</v>
      </c>
      <c r="BC16" s="53"/>
      <c r="BD16" s="46">
        <f t="shared" si="30"/>
        <v>0</v>
      </c>
      <c r="BE16" s="46">
        <f t="shared" si="31"/>
        <v>0</v>
      </c>
      <c r="BG16" s="46">
        <f t="shared" si="32"/>
        <v>2023</v>
      </c>
      <c r="BH16" s="46">
        <f>[5]Information!Y22</f>
        <v>0</v>
      </c>
      <c r="BI16" s="46">
        <f>[5]Information!Z22</f>
        <v>0</v>
      </c>
      <c r="BJ16" s="46">
        <f>[5]Information!AA22</f>
        <v>0</v>
      </c>
      <c r="BK16" s="46">
        <f>[5]Information!AB22</f>
        <v>0</v>
      </c>
      <c r="BL16" s="53"/>
      <c r="BM16" s="46">
        <f t="shared" si="33"/>
        <v>0</v>
      </c>
      <c r="BN16" s="46">
        <f t="shared" si="34"/>
        <v>0</v>
      </c>
      <c r="BP16" s="46">
        <f t="shared" si="35"/>
        <v>2023</v>
      </c>
      <c r="BQ16" s="46">
        <f>[6]Information!Y22</f>
        <v>0</v>
      </c>
      <c r="BR16" s="46">
        <f>[6]Information!Z22</f>
        <v>0</v>
      </c>
      <c r="BS16" s="46">
        <f>[6]Information!AA22</f>
        <v>0</v>
      </c>
      <c r="BT16" s="46">
        <f>[6]Information!AB22</f>
        <v>0</v>
      </c>
      <c r="BU16" s="53"/>
      <c r="BV16" s="46">
        <f t="shared" si="36"/>
        <v>0</v>
      </c>
      <c r="BW16" s="46">
        <f t="shared" si="37"/>
        <v>0</v>
      </c>
    </row>
    <row r="17" spans="1:75" ht="15.6" thickTop="1" thickBot="1" x14ac:dyDescent="0.35">
      <c r="A17" t="s">
        <v>32</v>
      </c>
      <c r="W17" s="46">
        <f t="shared" si="20"/>
        <v>2024</v>
      </c>
      <c r="X17" s="46">
        <f>[1]Information!Y23</f>
        <v>0</v>
      </c>
      <c r="Y17" s="46">
        <f>[1]Information!Z23</f>
        <v>0</v>
      </c>
      <c r="Z17" s="46">
        <f>[1]Information!AA23</f>
        <v>0</v>
      </c>
      <c r="AA17" s="46">
        <f>[1]Information!AB23</f>
        <v>0</v>
      </c>
      <c r="AB17" s="53"/>
      <c r="AC17" s="46">
        <f t="shared" si="21"/>
        <v>0</v>
      </c>
      <c r="AD17" s="46">
        <f t="shared" si="22"/>
        <v>0</v>
      </c>
      <c r="AF17" s="46">
        <f t="shared" si="23"/>
        <v>2024</v>
      </c>
      <c r="AG17" s="46">
        <f>[2]Information!Y23</f>
        <v>0</v>
      </c>
      <c r="AH17" s="46">
        <f>[2]Information!Z23</f>
        <v>0</v>
      </c>
      <c r="AI17" s="46">
        <f>[2]Information!AA23</f>
        <v>0</v>
      </c>
      <c r="AJ17" s="46">
        <f>[2]Information!AB23</f>
        <v>0</v>
      </c>
      <c r="AK17" s="53"/>
      <c r="AL17" s="46">
        <f t="shared" si="24"/>
        <v>0</v>
      </c>
      <c r="AM17" s="46">
        <f t="shared" si="25"/>
        <v>0</v>
      </c>
      <c r="AO17" s="46">
        <f t="shared" si="26"/>
        <v>2024</v>
      </c>
      <c r="AP17" s="46">
        <f>[4]Information!Y23</f>
        <v>0</v>
      </c>
      <c r="AQ17" s="46">
        <f>[4]Information!Z23</f>
        <v>0</v>
      </c>
      <c r="AR17" s="46">
        <f>[4]Information!AA23</f>
        <v>0</v>
      </c>
      <c r="AS17" s="46">
        <f>[4]Information!AB23</f>
        <v>0</v>
      </c>
      <c r="AT17" s="53"/>
      <c r="AU17" s="46">
        <f t="shared" si="27"/>
        <v>0</v>
      </c>
      <c r="AV17" s="46">
        <f t="shared" si="28"/>
        <v>0</v>
      </c>
      <c r="AX17" s="46">
        <f t="shared" si="29"/>
        <v>2024</v>
      </c>
      <c r="AY17" s="46">
        <f>[3]Information!Y23</f>
        <v>0</v>
      </c>
      <c r="AZ17" s="46">
        <f>[3]Information!Z23</f>
        <v>0</v>
      </c>
      <c r="BA17" s="46">
        <f>[3]Information!AA23</f>
        <v>0</v>
      </c>
      <c r="BB17" s="46">
        <f>[3]Information!AB23</f>
        <v>0</v>
      </c>
      <c r="BC17" s="53"/>
      <c r="BD17" s="46">
        <f t="shared" si="30"/>
        <v>0</v>
      </c>
      <c r="BE17" s="46">
        <f t="shared" si="31"/>
        <v>0</v>
      </c>
      <c r="BG17" s="46">
        <f t="shared" si="32"/>
        <v>2024</v>
      </c>
      <c r="BH17" s="46">
        <f>[5]Information!Y23</f>
        <v>0</v>
      </c>
      <c r="BI17" s="46">
        <f>[5]Information!Z23</f>
        <v>0</v>
      </c>
      <c r="BJ17" s="46">
        <f>[5]Information!AA23</f>
        <v>0</v>
      </c>
      <c r="BK17" s="46">
        <f>[5]Information!AB23</f>
        <v>0</v>
      </c>
      <c r="BL17" s="53"/>
      <c r="BM17" s="46">
        <f t="shared" si="33"/>
        <v>0</v>
      </c>
      <c r="BN17" s="46">
        <f t="shared" si="34"/>
        <v>0</v>
      </c>
      <c r="BP17" s="46">
        <f t="shared" si="35"/>
        <v>2024</v>
      </c>
      <c r="BQ17" s="46">
        <f>[6]Information!Y23</f>
        <v>0</v>
      </c>
      <c r="BR17" s="46">
        <f>[6]Information!Z23</f>
        <v>0</v>
      </c>
      <c r="BS17" s="46">
        <f>[6]Information!AA23</f>
        <v>0</v>
      </c>
      <c r="BT17" s="46">
        <f>[6]Information!AB23</f>
        <v>0</v>
      </c>
      <c r="BU17" s="53"/>
      <c r="BV17" s="46">
        <f t="shared" si="36"/>
        <v>0</v>
      </c>
      <c r="BW17" s="46">
        <f t="shared" si="37"/>
        <v>0</v>
      </c>
    </row>
    <row r="18" spans="1:75" ht="15.6" thickTop="1" thickBot="1" x14ac:dyDescent="0.35">
      <c r="A18" s="90" t="s">
        <v>26</v>
      </c>
      <c r="B18" s="91"/>
      <c r="C18" s="10">
        <v>2010</v>
      </c>
      <c r="D18" s="10">
        <f>C18+1</f>
        <v>2011</v>
      </c>
      <c r="E18" s="10">
        <f t="shared" ref="E18:R18" si="39">D18+1</f>
        <v>2012</v>
      </c>
      <c r="F18" s="10">
        <f t="shared" si="39"/>
        <v>2013</v>
      </c>
      <c r="G18" s="10">
        <f t="shared" si="39"/>
        <v>2014</v>
      </c>
      <c r="H18" s="10">
        <f t="shared" si="39"/>
        <v>2015</v>
      </c>
      <c r="I18" s="10">
        <f t="shared" si="39"/>
        <v>2016</v>
      </c>
      <c r="J18" s="10">
        <f t="shared" si="39"/>
        <v>2017</v>
      </c>
      <c r="K18" s="10">
        <f t="shared" si="39"/>
        <v>2018</v>
      </c>
      <c r="L18" s="10">
        <f t="shared" si="39"/>
        <v>2019</v>
      </c>
      <c r="M18" s="10">
        <f t="shared" si="39"/>
        <v>2020</v>
      </c>
      <c r="N18" s="10">
        <f>M18+1</f>
        <v>2021</v>
      </c>
      <c r="O18" s="10">
        <f t="shared" si="39"/>
        <v>2022</v>
      </c>
      <c r="P18" s="10">
        <f t="shared" si="39"/>
        <v>2023</v>
      </c>
      <c r="Q18" s="10">
        <f t="shared" si="39"/>
        <v>2024</v>
      </c>
      <c r="R18" s="10">
        <f t="shared" si="39"/>
        <v>2025</v>
      </c>
      <c r="W18" s="46">
        <f t="shared" si="20"/>
        <v>2025</v>
      </c>
      <c r="X18" s="46">
        <f>[1]Information!Y24</f>
        <v>0</v>
      </c>
      <c r="Y18" s="46">
        <f>[1]Information!Z24</f>
        <v>0</v>
      </c>
      <c r="Z18" s="46">
        <f>[1]Information!AA24</f>
        <v>0</v>
      </c>
      <c r="AA18" s="46">
        <f>[1]Information!AB24</f>
        <v>0</v>
      </c>
      <c r="AB18" s="53"/>
      <c r="AC18" s="46">
        <f t="shared" si="21"/>
        <v>0</v>
      </c>
      <c r="AD18" s="46">
        <f t="shared" si="22"/>
        <v>0</v>
      </c>
      <c r="AF18" s="46">
        <f t="shared" si="23"/>
        <v>2025</v>
      </c>
      <c r="AG18" s="46">
        <f>[2]Information!Y24</f>
        <v>0</v>
      </c>
      <c r="AH18" s="46">
        <f>[2]Information!Z24</f>
        <v>0</v>
      </c>
      <c r="AI18" s="46">
        <f>[2]Information!AA24</f>
        <v>0</v>
      </c>
      <c r="AJ18" s="46">
        <f>[2]Information!AB24</f>
        <v>0</v>
      </c>
      <c r="AK18" s="53"/>
      <c r="AL18" s="46">
        <f t="shared" si="24"/>
        <v>0</v>
      </c>
      <c r="AM18" s="46">
        <f t="shared" si="25"/>
        <v>0</v>
      </c>
      <c r="AO18" s="46">
        <f t="shared" si="26"/>
        <v>2025</v>
      </c>
      <c r="AP18" s="46">
        <f>[4]Information!Y24</f>
        <v>0</v>
      </c>
      <c r="AQ18" s="46">
        <f>[4]Information!Z24</f>
        <v>0</v>
      </c>
      <c r="AR18" s="46">
        <f>[4]Information!AA24</f>
        <v>0</v>
      </c>
      <c r="AS18" s="46">
        <f>[4]Information!AB24</f>
        <v>0</v>
      </c>
      <c r="AT18" s="53"/>
      <c r="AU18" s="46">
        <f t="shared" si="27"/>
        <v>0</v>
      </c>
      <c r="AV18" s="46">
        <f t="shared" si="28"/>
        <v>0</v>
      </c>
      <c r="AX18" s="46">
        <f t="shared" si="29"/>
        <v>2025</v>
      </c>
      <c r="AY18" s="46">
        <f>[3]Information!Y24</f>
        <v>0</v>
      </c>
      <c r="AZ18" s="46">
        <f>[3]Information!Z24</f>
        <v>0</v>
      </c>
      <c r="BA18" s="46">
        <f>[3]Information!AA24</f>
        <v>0</v>
      </c>
      <c r="BB18" s="46">
        <f>[3]Information!AB24</f>
        <v>0</v>
      </c>
      <c r="BC18" s="53"/>
      <c r="BD18" s="46">
        <f t="shared" si="30"/>
        <v>0</v>
      </c>
      <c r="BE18" s="46">
        <f t="shared" si="31"/>
        <v>0</v>
      </c>
      <c r="BG18" s="46">
        <f t="shared" si="32"/>
        <v>2025</v>
      </c>
      <c r="BH18" s="46">
        <f>[5]Information!Y24</f>
        <v>0</v>
      </c>
      <c r="BI18" s="46">
        <f>[5]Information!Z24</f>
        <v>0</v>
      </c>
      <c r="BJ18" s="46">
        <f>[5]Information!AA24</f>
        <v>0</v>
      </c>
      <c r="BK18" s="46">
        <f>[5]Information!AB24</f>
        <v>0</v>
      </c>
      <c r="BL18" s="53"/>
      <c r="BM18" s="46">
        <f t="shared" si="33"/>
        <v>0</v>
      </c>
      <c r="BN18" s="46">
        <f t="shared" si="34"/>
        <v>0</v>
      </c>
      <c r="BP18" s="46">
        <f t="shared" si="35"/>
        <v>2025</v>
      </c>
      <c r="BQ18" s="46">
        <f>[6]Information!Y24</f>
        <v>0</v>
      </c>
      <c r="BR18" s="46">
        <f>[6]Information!Z24</f>
        <v>0</v>
      </c>
      <c r="BS18" s="46">
        <f>[6]Information!AA24</f>
        <v>0</v>
      </c>
      <c r="BT18" s="46">
        <f>[6]Information!AB24</f>
        <v>0</v>
      </c>
      <c r="BU18" s="53"/>
      <c r="BV18" s="46">
        <f t="shared" si="36"/>
        <v>0</v>
      </c>
      <c r="BW18" s="46">
        <f t="shared" si="37"/>
        <v>0</v>
      </c>
    </row>
    <row r="19" spans="1:75" ht="15.6" thickTop="1" thickBot="1" x14ac:dyDescent="0.35">
      <c r="A19" s="95" t="s">
        <v>16</v>
      </c>
      <c r="B19" s="96"/>
      <c r="C19" s="11">
        <f>SUM(Calculate!C2:C3)</f>
        <v>136</v>
      </c>
      <c r="D19" s="11">
        <f>SUM(Calculate!D2:D3)</f>
        <v>80</v>
      </c>
      <c r="E19" s="11">
        <f>SUM(Calculate!E2:E3)</f>
        <v>107</v>
      </c>
      <c r="F19" s="11">
        <f>SUM(Calculate!F2:F3)</f>
        <v>118</v>
      </c>
      <c r="G19" s="11">
        <f>SUM(Calculate!G2:G3)</f>
        <v>107</v>
      </c>
      <c r="H19" s="11">
        <f>SUM(Calculate!H2:H3)</f>
        <v>100</v>
      </c>
      <c r="I19" s="11">
        <f>SUM(Calculate!I2:I3)</f>
        <v>168</v>
      </c>
      <c r="J19" s="11">
        <f>SUM(Calculate!J2:J3)</f>
        <v>134</v>
      </c>
      <c r="K19" s="11">
        <f>SUM(Calculate!K2:K3)</f>
        <v>35</v>
      </c>
      <c r="L19" s="11">
        <f>SUM(Calculate!L2:L3)</f>
        <v>0</v>
      </c>
      <c r="M19" s="11">
        <f>SUM(Calculate!M2:M3)</f>
        <v>0</v>
      </c>
      <c r="N19" s="11">
        <f>SUM(Calculate!N2:N3)</f>
        <v>0</v>
      </c>
      <c r="O19" s="11">
        <f>SUM(Calculate!O2:O3)</f>
        <v>0</v>
      </c>
      <c r="P19" s="11">
        <f>SUM(Calculate!P2:P3)</f>
        <v>0</v>
      </c>
      <c r="Q19" s="11">
        <f>SUM(Calculate!Q2:Q3)</f>
        <v>0</v>
      </c>
      <c r="R19" s="11">
        <f>SUM(Calculate!R2:R3)</f>
        <v>0</v>
      </c>
    </row>
    <row r="20" spans="1:75" ht="15" thickBot="1" x14ac:dyDescent="0.35">
      <c r="A20" s="95" t="s">
        <v>17</v>
      </c>
      <c r="B20" s="96" t="s">
        <v>30</v>
      </c>
      <c r="C20" s="11">
        <f>SUM(Calculate!C4:C5)</f>
        <v>33</v>
      </c>
      <c r="D20" s="11">
        <f>SUM(Calculate!D4:D5)</f>
        <v>33</v>
      </c>
      <c r="E20" s="11">
        <f>SUM(Calculate!E4:E5)</f>
        <v>36</v>
      </c>
      <c r="F20" s="11">
        <f>SUM(Calculate!F4:F5)</f>
        <v>52</v>
      </c>
      <c r="G20" s="11">
        <f>SUM(Calculate!G4:G5)</f>
        <v>48</v>
      </c>
      <c r="H20" s="11">
        <f>SUM(Calculate!H4:H5)</f>
        <v>35</v>
      </c>
      <c r="I20" s="11">
        <f>SUM(Calculate!I4:I5)</f>
        <v>37</v>
      </c>
      <c r="J20" s="11">
        <f>SUM(Calculate!J4:J5)</f>
        <v>20</v>
      </c>
      <c r="K20" s="11">
        <f>SUM(Calculate!K4:K5)</f>
        <v>11</v>
      </c>
      <c r="L20" s="11">
        <f>SUM(Calculate!L4:L5)</f>
        <v>0</v>
      </c>
      <c r="M20" s="11">
        <f>SUM(Calculate!M4:M5)</f>
        <v>0</v>
      </c>
      <c r="N20" s="11">
        <f>SUM(Calculate!N4:N5)</f>
        <v>0</v>
      </c>
      <c r="O20" s="11">
        <f>SUM(Calculate!O4:O5)</f>
        <v>0</v>
      </c>
      <c r="P20" s="11">
        <f>SUM(Calculate!P4:P5)</f>
        <v>0</v>
      </c>
      <c r="Q20" s="11">
        <f>SUM(Calculate!Q4:Q5)</f>
        <v>0</v>
      </c>
      <c r="R20" s="11">
        <f>SUM(Calculate!R4:R5)</f>
        <v>0</v>
      </c>
    </row>
    <row r="21" spans="1:75" ht="15" thickBot="1" x14ac:dyDescent="0.35">
      <c r="A21" s="95" t="s">
        <v>18</v>
      </c>
      <c r="B21" s="96" t="s">
        <v>30</v>
      </c>
      <c r="C21" s="11">
        <f>SUM(Calculate!C6:C7)</f>
        <v>5</v>
      </c>
      <c r="D21" s="11">
        <f>SUM(Calculate!D6:D7)</f>
        <v>8</v>
      </c>
      <c r="E21" s="11">
        <f>SUM(Calculate!E6:E7)</f>
        <v>7</v>
      </c>
      <c r="F21" s="11">
        <f>SUM(Calculate!F6:F7)</f>
        <v>1</v>
      </c>
      <c r="G21" s="11">
        <f>SUM(Calculate!G6:G7)</f>
        <v>0</v>
      </c>
      <c r="H21" s="11">
        <f>SUM(Calculate!H6:H7)</f>
        <v>0</v>
      </c>
      <c r="I21" s="11">
        <f>SUM(Calculate!I6:I7)</f>
        <v>2</v>
      </c>
      <c r="J21" s="11">
        <f>SUM(Calculate!J6:J7)</f>
        <v>4</v>
      </c>
      <c r="K21" s="11">
        <f>SUM(Calculate!K6:K7)</f>
        <v>0</v>
      </c>
      <c r="L21" s="11">
        <f>SUM(Calculate!L6:L7)</f>
        <v>0</v>
      </c>
      <c r="M21" s="11">
        <f>SUM(Calculate!M6:M7)</f>
        <v>0</v>
      </c>
      <c r="N21" s="11">
        <f>SUM(Calculate!N6:N7)</f>
        <v>0</v>
      </c>
      <c r="O21" s="11">
        <f>SUM(Calculate!O6:O7)</f>
        <v>0</v>
      </c>
      <c r="P21" s="11">
        <f>SUM(Calculate!P6:P7)</f>
        <v>0</v>
      </c>
      <c r="Q21" s="11">
        <f>SUM(Calculate!Q6:Q7)</f>
        <v>0</v>
      </c>
      <c r="R21" s="11">
        <f>SUM(Calculate!R6:R7)</f>
        <v>0</v>
      </c>
    </row>
    <row r="22" spans="1:75" ht="15" thickBot="1" x14ac:dyDescent="0.35">
      <c r="A22" s="95" t="s">
        <v>15</v>
      </c>
      <c r="B22" s="96" t="s">
        <v>30</v>
      </c>
      <c r="C22" s="11">
        <f>SUM(Calculate!C8:C9)</f>
        <v>0</v>
      </c>
      <c r="D22" s="11">
        <f>SUM(Calculate!D8:D9)</f>
        <v>0</v>
      </c>
      <c r="E22" s="11">
        <f>SUM(Calculate!E8:E9)</f>
        <v>0</v>
      </c>
      <c r="F22" s="11">
        <f>SUM(Calculate!F8:F9)</f>
        <v>0</v>
      </c>
      <c r="G22" s="11">
        <f>SUM(Calculate!G8:G9)</f>
        <v>1</v>
      </c>
      <c r="H22" s="11">
        <f>SUM(Calculate!H8:H9)</f>
        <v>38</v>
      </c>
      <c r="I22" s="11">
        <f>SUM(Calculate!I8:I9)</f>
        <v>54</v>
      </c>
      <c r="J22" s="11">
        <f>SUM(Calculate!J8:J9)</f>
        <v>1</v>
      </c>
      <c r="K22" s="11">
        <f>SUM(Calculate!K8:K9)</f>
        <v>0</v>
      </c>
      <c r="L22" s="11">
        <f>SUM(Calculate!L8:L9)</f>
        <v>0</v>
      </c>
      <c r="M22" s="11">
        <f>SUM(Calculate!M8:M9)</f>
        <v>0</v>
      </c>
      <c r="N22" s="11">
        <f>SUM(Calculate!N8:N9)</f>
        <v>0</v>
      </c>
      <c r="O22" s="11">
        <f>SUM(Calculate!O8:O9)</f>
        <v>0</v>
      </c>
      <c r="P22" s="11">
        <f>SUM(Calculate!P8:P9)</f>
        <v>0</v>
      </c>
      <c r="Q22" s="11">
        <f>SUM(Calculate!Q8:Q9)</f>
        <v>0</v>
      </c>
      <c r="R22" s="11">
        <f>SUM(Calculate!R8:R9)</f>
        <v>0</v>
      </c>
    </row>
    <row r="23" spans="1:75" ht="15" thickBot="1" x14ac:dyDescent="0.35">
      <c r="A23" s="95" t="s">
        <v>14</v>
      </c>
      <c r="B23" s="96" t="s">
        <v>30</v>
      </c>
      <c r="C23" s="11">
        <f>SUM(Calculate!C10:C11)</f>
        <v>19</v>
      </c>
      <c r="D23" s="11">
        <f>SUM(Calculate!D10:D11)</f>
        <v>15</v>
      </c>
      <c r="E23" s="11">
        <f>SUM(Calculate!E10:E11)</f>
        <v>7</v>
      </c>
      <c r="F23" s="11">
        <f>SUM(Calculate!F10:F11)</f>
        <v>28</v>
      </c>
      <c r="G23" s="11">
        <f>SUM(Calculate!G10:G11)</f>
        <v>26</v>
      </c>
      <c r="H23" s="11">
        <f>SUM(Calculate!H10:H11)</f>
        <v>30</v>
      </c>
      <c r="I23" s="11">
        <f>SUM(Calculate!I10:I11)</f>
        <v>22</v>
      </c>
      <c r="J23" s="11">
        <f>SUM(Calculate!J10:J11)</f>
        <v>31</v>
      </c>
      <c r="K23" s="11">
        <f>SUM(Calculate!K10:K11)</f>
        <v>7</v>
      </c>
      <c r="L23" s="11">
        <f>SUM(Calculate!L10:L11)</f>
        <v>0</v>
      </c>
      <c r="M23" s="11">
        <f>SUM(Calculate!M10:M11)</f>
        <v>0</v>
      </c>
      <c r="N23" s="11">
        <f>SUM(Calculate!N10:N11)</f>
        <v>0</v>
      </c>
      <c r="O23" s="11">
        <f>SUM(Calculate!O10:O11)</f>
        <v>0</v>
      </c>
      <c r="P23" s="11">
        <f>SUM(Calculate!P10:P11)</f>
        <v>0</v>
      </c>
      <c r="Q23" s="11">
        <f>SUM(Calculate!Q10:Q11)</f>
        <v>0</v>
      </c>
      <c r="R23" s="11">
        <f>SUM(Calculate!R10:R11)</f>
        <v>0</v>
      </c>
    </row>
    <row r="24" spans="1:75" ht="15" thickBot="1" x14ac:dyDescent="0.35">
      <c r="A24" s="95" t="s">
        <v>19</v>
      </c>
      <c r="B24" s="96" t="s">
        <v>30</v>
      </c>
      <c r="C24" s="11">
        <f>SUM(Calculate!C12:C13)</f>
        <v>2</v>
      </c>
      <c r="D24" s="11">
        <f>SUM(Calculate!D12:D13)</f>
        <v>9</v>
      </c>
      <c r="E24" s="11">
        <f>SUM(Calculate!E12:E13)</f>
        <v>6</v>
      </c>
      <c r="F24" s="11">
        <f>SUM(Calculate!F12:F13)</f>
        <v>16</v>
      </c>
      <c r="G24" s="11">
        <f>SUM(Calculate!G12:G13)</f>
        <v>7</v>
      </c>
      <c r="H24" s="11">
        <f>SUM(Calculate!H12:H13)</f>
        <v>36</v>
      </c>
      <c r="I24" s="11">
        <f>SUM(Calculate!I12:I13)</f>
        <v>41</v>
      </c>
      <c r="J24" s="11">
        <f>SUM(Calculate!J12:J13)</f>
        <v>25</v>
      </c>
      <c r="K24" s="11">
        <f>SUM(Calculate!K12:K13)</f>
        <v>8</v>
      </c>
      <c r="L24" s="11">
        <f>SUM(Calculate!L12:L13)</f>
        <v>0</v>
      </c>
      <c r="M24" s="11">
        <f>SUM(Calculate!M12:M13)</f>
        <v>0</v>
      </c>
      <c r="N24" s="11">
        <f>SUM(Calculate!N12:N13)</f>
        <v>0</v>
      </c>
      <c r="O24" s="11">
        <f>SUM(Calculate!O12:O13)</f>
        <v>0</v>
      </c>
      <c r="P24" s="11">
        <f>SUM(Calculate!P12:P13)</f>
        <v>0</v>
      </c>
      <c r="Q24" s="11">
        <f>SUM(Calculate!Q12:Q13)</f>
        <v>0</v>
      </c>
      <c r="R24" s="11">
        <f>SUM(Calculate!R12:R13)</f>
        <v>0</v>
      </c>
    </row>
    <row r="25" spans="1:75" ht="15" thickBot="1" x14ac:dyDescent="0.35">
      <c r="C25" s="15">
        <f t="shared" ref="C25:R25" si="40">SUM(C19:C24)</f>
        <v>195</v>
      </c>
      <c r="D25" s="15">
        <f t="shared" si="40"/>
        <v>145</v>
      </c>
      <c r="E25" s="15">
        <f t="shared" si="40"/>
        <v>163</v>
      </c>
      <c r="F25" s="15">
        <f t="shared" si="40"/>
        <v>215</v>
      </c>
      <c r="G25" s="15">
        <f t="shared" si="40"/>
        <v>189</v>
      </c>
      <c r="H25" s="15">
        <f t="shared" si="40"/>
        <v>239</v>
      </c>
      <c r="I25" s="15">
        <f t="shared" si="40"/>
        <v>324</v>
      </c>
      <c r="J25" s="15">
        <f t="shared" si="40"/>
        <v>215</v>
      </c>
      <c r="K25" s="15">
        <f t="shared" si="40"/>
        <v>61</v>
      </c>
      <c r="L25" s="15">
        <f t="shared" si="40"/>
        <v>0</v>
      </c>
      <c r="M25" s="15">
        <f t="shared" si="40"/>
        <v>0</v>
      </c>
      <c r="N25" s="15">
        <f t="shared" si="40"/>
        <v>0</v>
      </c>
      <c r="O25" s="15">
        <f t="shared" si="40"/>
        <v>0</v>
      </c>
      <c r="P25" s="15">
        <f t="shared" si="40"/>
        <v>0</v>
      </c>
      <c r="Q25" s="15">
        <f t="shared" si="40"/>
        <v>0</v>
      </c>
      <c r="R25" s="15">
        <f t="shared" si="40"/>
        <v>0</v>
      </c>
    </row>
    <row r="28" spans="1:75" ht="15" thickBot="1" x14ac:dyDescent="0.35">
      <c r="A28" t="s">
        <v>33</v>
      </c>
    </row>
    <row r="29" spans="1:75" ht="15" thickBot="1" x14ac:dyDescent="0.35">
      <c r="A29" s="90" t="s">
        <v>26</v>
      </c>
      <c r="B29" s="91"/>
      <c r="C29" s="10">
        <v>2010</v>
      </c>
      <c r="D29" s="10">
        <f>C29+1</f>
        <v>2011</v>
      </c>
      <c r="E29" s="10">
        <f t="shared" ref="E29:J29" si="41">D29+1</f>
        <v>2012</v>
      </c>
      <c r="F29" s="10">
        <f t="shared" si="41"/>
        <v>2013</v>
      </c>
      <c r="G29" s="10">
        <f t="shared" si="41"/>
        <v>2014</v>
      </c>
      <c r="H29" s="10">
        <f t="shared" si="41"/>
        <v>2015</v>
      </c>
      <c r="I29" s="10">
        <f t="shared" si="41"/>
        <v>2016</v>
      </c>
      <c r="J29" s="10">
        <f t="shared" si="41"/>
        <v>2017</v>
      </c>
      <c r="K29" s="10">
        <f t="shared" ref="K29:R29" si="42">J29+1</f>
        <v>2018</v>
      </c>
      <c r="L29" s="10">
        <f t="shared" si="42"/>
        <v>2019</v>
      </c>
      <c r="M29" s="10">
        <f t="shared" si="42"/>
        <v>2020</v>
      </c>
      <c r="N29" s="10">
        <f t="shared" si="42"/>
        <v>2021</v>
      </c>
      <c r="O29" s="10">
        <f t="shared" si="42"/>
        <v>2022</v>
      </c>
      <c r="P29" s="10">
        <f t="shared" si="42"/>
        <v>2023</v>
      </c>
      <c r="Q29" s="10">
        <f t="shared" si="42"/>
        <v>2024</v>
      </c>
      <c r="R29" s="10">
        <f t="shared" si="42"/>
        <v>2025</v>
      </c>
    </row>
    <row r="30" spans="1:75" ht="15" thickBot="1" x14ac:dyDescent="0.35">
      <c r="A30" s="95" t="s">
        <v>16</v>
      </c>
      <c r="B30" s="96"/>
      <c r="C30" s="11">
        <f>Calculate!C3</f>
        <v>1</v>
      </c>
      <c r="D30" s="11">
        <f>Calculate!D3</f>
        <v>0</v>
      </c>
      <c r="E30" s="11">
        <f>Calculate!E3</f>
        <v>6</v>
      </c>
      <c r="F30" s="11">
        <f>Calculate!F3</f>
        <v>3</v>
      </c>
      <c r="G30" s="11">
        <f>Calculate!G3</f>
        <v>2</v>
      </c>
      <c r="H30" s="11">
        <f>Calculate!H3</f>
        <v>1</v>
      </c>
      <c r="I30" s="11">
        <f>Calculate!I3</f>
        <v>17</v>
      </c>
      <c r="J30" s="11">
        <f>Calculate!J3</f>
        <v>32</v>
      </c>
      <c r="K30" s="11">
        <f>Calculate!K3</f>
        <v>31</v>
      </c>
      <c r="L30" s="11">
        <f>Calculate!L3</f>
        <v>0</v>
      </c>
      <c r="M30" s="11">
        <f>Calculate!M3</f>
        <v>0</v>
      </c>
      <c r="N30" s="11">
        <f>Calculate!N3</f>
        <v>0</v>
      </c>
      <c r="O30" s="11">
        <f>Calculate!O3</f>
        <v>0</v>
      </c>
      <c r="P30" s="11">
        <f>Calculate!P3</f>
        <v>0</v>
      </c>
      <c r="Q30" s="11">
        <f>Calculate!Q3</f>
        <v>0</v>
      </c>
      <c r="R30" s="11">
        <f>Calculate!R3</f>
        <v>0</v>
      </c>
    </row>
    <row r="31" spans="1:75" ht="15" thickBot="1" x14ac:dyDescent="0.35">
      <c r="A31" s="95" t="s">
        <v>17</v>
      </c>
      <c r="B31" s="96" t="s">
        <v>30</v>
      </c>
      <c r="C31" s="11">
        <f>Calculate!C5</f>
        <v>0</v>
      </c>
      <c r="D31" s="11">
        <f>Calculate!D5</f>
        <v>5</v>
      </c>
      <c r="E31" s="11">
        <f>Calculate!E5</f>
        <v>4</v>
      </c>
      <c r="F31" s="11">
        <f>Calculate!F5</f>
        <v>1</v>
      </c>
      <c r="G31" s="11">
        <f>Calculate!G5</f>
        <v>0</v>
      </c>
      <c r="H31" s="11">
        <f>Calculate!H5</f>
        <v>0</v>
      </c>
      <c r="I31" s="11">
        <f>Calculate!I5</f>
        <v>5</v>
      </c>
      <c r="J31" s="11">
        <f>Calculate!J5</f>
        <v>3</v>
      </c>
      <c r="K31" s="11">
        <f>Calculate!K5</f>
        <v>9</v>
      </c>
      <c r="L31" s="11">
        <f>Calculate!L5</f>
        <v>0</v>
      </c>
      <c r="M31" s="11">
        <f>Calculate!M5</f>
        <v>0</v>
      </c>
      <c r="N31" s="11">
        <f>Calculate!N5</f>
        <v>0</v>
      </c>
      <c r="O31" s="11">
        <f>Calculate!O5</f>
        <v>0</v>
      </c>
      <c r="P31" s="11">
        <f>Calculate!P5</f>
        <v>0</v>
      </c>
      <c r="Q31" s="11">
        <f>Calculate!Q5</f>
        <v>0</v>
      </c>
      <c r="R31" s="11">
        <f>Calculate!R5</f>
        <v>0</v>
      </c>
      <c r="T31" s="90" t="s">
        <v>26</v>
      </c>
      <c r="U31" s="91"/>
      <c r="V31" s="10">
        <v>2010</v>
      </c>
      <c r="W31" s="10">
        <f>V31+1</f>
        <v>2011</v>
      </c>
      <c r="X31" s="10">
        <f t="shared" ref="X31:AK31" si="43">W31+1</f>
        <v>2012</v>
      </c>
      <c r="Y31" s="10">
        <f t="shared" si="43"/>
        <v>2013</v>
      </c>
      <c r="Z31" s="10">
        <f t="shared" si="43"/>
        <v>2014</v>
      </c>
      <c r="AA31" s="10">
        <f t="shared" si="43"/>
        <v>2015</v>
      </c>
      <c r="AB31" s="10">
        <f t="shared" si="43"/>
        <v>2016</v>
      </c>
      <c r="AC31" s="10">
        <f t="shared" si="43"/>
        <v>2017</v>
      </c>
      <c r="AD31" s="10">
        <f t="shared" si="43"/>
        <v>2018</v>
      </c>
      <c r="AE31" s="10">
        <f t="shared" si="43"/>
        <v>2019</v>
      </c>
      <c r="AF31" s="10">
        <f t="shared" si="43"/>
        <v>2020</v>
      </c>
      <c r="AG31" s="10">
        <f t="shared" si="43"/>
        <v>2021</v>
      </c>
      <c r="AH31" s="10">
        <f t="shared" si="43"/>
        <v>2022</v>
      </c>
      <c r="AI31" s="10">
        <f t="shared" si="43"/>
        <v>2023</v>
      </c>
      <c r="AJ31" s="10">
        <f t="shared" si="43"/>
        <v>2024</v>
      </c>
      <c r="AK31" s="10">
        <f t="shared" si="43"/>
        <v>2025</v>
      </c>
    </row>
    <row r="32" spans="1:75" ht="15" thickBot="1" x14ac:dyDescent="0.35">
      <c r="A32" s="95" t="s">
        <v>18</v>
      </c>
      <c r="B32" s="96" t="s">
        <v>30</v>
      </c>
      <c r="C32" s="11">
        <f>Calculate!C7</f>
        <v>1</v>
      </c>
      <c r="D32" s="11">
        <f>Calculate!D7</f>
        <v>2</v>
      </c>
      <c r="E32" s="11">
        <f>Calculate!E7</f>
        <v>1</v>
      </c>
      <c r="F32" s="11">
        <f>Calculate!F7</f>
        <v>0</v>
      </c>
      <c r="G32" s="11">
        <f>Calculate!G7</f>
        <v>0</v>
      </c>
      <c r="H32" s="11">
        <f>Calculate!H7</f>
        <v>0</v>
      </c>
      <c r="I32" s="11">
        <f>Calculate!I7</f>
        <v>0</v>
      </c>
      <c r="J32" s="11">
        <f>Calculate!J7</f>
        <v>2</v>
      </c>
      <c r="K32" s="11">
        <f>Calculate!K7</f>
        <v>0</v>
      </c>
      <c r="L32" s="11">
        <f>Calculate!L7</f>
        <v>0</v>
      </c>
      <c r="M32" s="11">
        <f>Calculate!M7</f>
        <v>0</v>
      </c>
      <c r="N32" s="11">
        <f>Calculate!N7</f>
        <v>0</v>
      </c>
      <c r="O32" s="11">
        <f>Calculate!O7</f>
        <v>0</v>
      </c>
      <c r="P32" s="11">
        <f>Calculate!P7</f>
        <v>0</v>
      </c>
      <c r="Q32" s="11">
        <f>Calculate!Q7</f>
        <v>0</v>
      </c>
      <c r="R32" s="11">
        <f>Calculate!R7</f>
        <v>0</v>
      </c>
      <c r="T32" s="95" t="s">
        <v>30</v>
      </c>
      <c r="U32" s="96"/>
      <c r="V32" s="11">
        <f>V34-V33</f>
        <v>193</v>
      </c>
      <c r="W32" s="11">
        <f>W34-W33</f>
        <v>138</v>
      </c>
      <c r="X32" s="11">
        <f t="shared" ref="X32:AK32" si="44">X34-X33</f>
        <v>152</v>
      </c>
      <c r="Y32" s="11">
        <f t="shared" si="44"/>
        <v>209</v>
      </c>
      <c r="Z32" s="11">
        <f t="shared" si="44"/>
        <v>187</v>
      </c>
      <c r="AA32" s="11">
        <f t="shared" si="44"/>
        <v>195</v>
      </c>
      <c r="AB32" s="11">
        <f t="shared" si="44"/>
        <v>255</v>
      </c>
      <c r="AC32" s="11">
        <f t="shared" si="44"/>
        <v>159</v>
      </c>
      <c r="AD32" s="11">
        <f t="shared" si="44"/>
        <v>13</v>
      </c>
      <c r="AE32" s="11">
        <f t="shared" si="44"/>
        <v>0</v>
      </c>
      <c r="AF32" s="11">
        <f t="shared" si="44"/>
        <v>0</v>
      </c>
      <c r="AG32" s="11">
        <f t="shared" si="44"/>
        <v>0</v>
      </c>
      <c r="AH32" s="11">
        <f t="shared" si="44"/>
        <v>0</v>
      </c>
      <c r="AI32" s="11">
        <f t="shared" si="44"/>
        <v>0</v>
      </c>
      <c r="AJ32" s="11">
        <f t="shared" si="44"/>
        <v>0</v>
      </c>
      <c r="AK32" s="11">
        <f t="shared" si="44"/>
        <v>0</v>
      </c>
    </row>
    <row r="33" spans="1:37" ht="15" thickBot="1" x14ac:dyDescent="0.35">
      <c r="A33" s="95" t="s">
        <v>15</v>
      </c>
      <c r="B33" s="96" t="s">
        <v>30</v>
      </c>
      <c r="C33" s="11">
        <f>Calculate!C9</f>
        <v>0</v>
      </c>
      <c r="D33" s="11">
        <f>Calculate!D9</f>
        <v>0</v>
      </c>
      <c r="E33" s="11">
        <f>Calculate!E9</f>
        <v>0</v>
      </c>
      <c r="F33" s="11">
        <f>Calculate!F9</f>
        <v>0</v>
      </c>
      <c r="G33" s="11">
        <f>Calculate!G9</f>
        <v>0</v>
      </c>
      <c r="H33" s="11">
        <f>Calculate!H9</f>
        <v>30</v>
      </c>
      <c r="I33" s="11">
        <f>Calculate!I9</f>
        <v>35</v>
      </c>
      <c r="J33" s="11">
        <f>Calculate!J9</f>
        <v>0</v>
      </c>
      <c r="K33" s="11">
        <f>Calculate!K9</f>
        <v>0</v>
      </c>
      <c r="L33" s="11">
        <f>Calculate!L9</f>
        <v>0</v>
      </c>
      <c r="M33" s="11">
        <f>Calculate!M9</f>
        <v>0</v>
      </c>
      <c r="N33" s="11">
        <f>Calculate!N9</f>
        <v>0</v>
      </c>
      <c r="O33" s="11">
        <f>Calculate!O9</f>
        <v>0</v>
      </c>
      <c r="P33" s="11">
        <f>Calculate!P9</f>
        <v>0</v>
      </c>
      <c r="Q33" s="11">
        <f>Calculate!Q9</f>
        <v>0</v>
      </c>
      <c r="R33" s="11">
        <f>Calculate!R9</f>
        <v>0</v>
      </c>
      <c r="T33" s="95" t="s">
        <v>31</v>
      </c>
      <c r="U33" s="96" t="s">
        <v>30</v>
      </c>
      <c r="V33" s="16">
        <f>C36</f>
        <v>2</v>
      </c>
      <c r="W33" s="16">
        <f>D36</f>
        <v>7</v>
      </c>
      <c r="X33" s="16">
        <f t="shared" ref="X33:AK33" si="45">E36</f>
        <v>11</v>
      </c>
      <c r="Y33" s="16">
        <f t="shared" si="45"/>
        <v>6</v>
      </c>
      <c r="Z33" s="16">
        <f t="shared" si="45"/>
        <v>2</v>
      </c>
      <c r="AA33" s="16">
        <f t="shared" si="45"/>
        <v>44</v>
      </c>
      <c r="AB33" s="16">
        <f t="shared" si="45"/>
        <v>69</v>
      </c>
      <c r="AC33" s="16">
        <f t="shared" si="45"/>
        <v>56</v>
      </c>
      <c r="AD33" s="16">
        <f t="shared" si="45"/>
        <v>48</v>
      </c>
      <c r="AE33" s="16">
        <f t="shared" si="45"/>
        <v>0</v>
      </c>
      <c r="AF33" s="16">
        <f t="shared" si="45"/>
        <v>0</v>
      </c>
      <c r="AG33" s="16">
        <f t="shared" si="45"/>
        <v>0</v>
      </c>
      <c r="AH33" s="16">
        <f t="shared" si="45"/>
        <v>0</v>
      </c>
      <c r="AI33" s="16">
        <f t="shared" si="45"/>
        <v>0</v>
      </c>
      <c r="AJ33" s="16">
        <f t="shared" si="45"/>
        <v>0</v>
      </c>
      <c r="AK33" s="16">
        <f t="shared" si="45"/>
        <v>0</v>
      </c>
    </row>
    <row r="34" spans="1:37" ht="15" thickBot="1" x14ac:dyDescent="0.35">
      <c r="A34" s="95" t="s">
        <v>14</v>
      </c>
      <c r="B34" s="96" t="s">
        <v>30</v>
      </c>
      <c r="C34" s="11">
        <f>Calculate!C11</f>
        <v>0</v>
      </c>
      <c r="D34" s="11">
        <f>Calculate!D11</f>
        <v>0</v>
      </c>
      <c r="E34" s="11">
        <f>Calculate!E11</f>
        <v>0</v>
      </c>
      <c r="F34" s="11">
        <f>Calculate!F11</f>
        <v>0</v>
      </c>
      <c r="G34" s="11">
        <f>Calculate!G11</f>
        <v>0</v>
      </c>
      <c r="H34" s="11">
        <f>Calculate!H11</f>
        <v>0</v>
      </c>
      <c r="I34" s="11">
        <f>Calculate!I11</f>
        <v>1</v>
      </c>
      <c r="J34" s="11">
        <f>Calculate!J11</f>
        <v>4</v>
      </c>
      <c r="K34" s="11">
        <f>Calculate!K11</f>
        <v>3</v>
      </c>
      <c r="L34" s="11">
        <f>Calculate!L11</f>
        <v>0</v>
      </c>
      <c r="M34" s="11">
        <f>Calculate!M11</f>
        <v>0</v>
      </c>
      <c r="N34" s="11">
        <f>Calculate!N11</f>
        <v>0</v>
      </c>
      <c r="O34" s="11">
        <f>Calculate!O11</f>
        <v>0</v>
      </c>
      <c r="P34" s="11">
        <f>Calculate!P11</f>
        <v>0</v>
      </c>
      <c r="Q34" s="11">
        <f>Calculate!Q11</f>
        <v>0</v>
      </c>
      <c r="R34" s="11">
        <f>Calculate!R11</f>
        <v>0</v>
      </c>
      <c r="V34" s="15">
        <f>C14</f>
        <v>195</v>
      </c>
      <c r="W34" s="15">
        <f>D14</f>
        <v>145</v>
      </c>
      <c r="X34" s="15">
        <f t="shared" ref="X34:AK34" si="46">E14</f>
        <v>163</v>
      </c>
      <c r="Y34" s="15">
        <f t="shared" si="46"/>
        <v>215</v>
      </c>
      <c r="Z34" s="15">
        <f t="shared" si="46"/>
        <v>189</v>
      </c>
      <c r="AA34" s="15">
        <f t="shared" si="46"/>
        <v>239</v>
      </c>
      <c r="AB34" s="15">
        <f t="shared" si="46"/>
        <v>324</v>
      </c>
      <c r="AC34" s="15">
        <f t="shared" si="46"/>
        <v>215</v>
      </c>
      <c r="AD34" s="15">
        <f t="shared" si="46"/>
        <v>61</v>
      </c>
      <c r="AE34" s="15">
        <f t="shared" si="46"/>
        <v>0</v>
      </c>
      <c r="AF34" s="15">
        <f t="shared" si="46"/>
        <v>0</v>
      </c>
      <c r="AG34" s="15">
        <f t="shared" si="46"/>
        <v>0</v>
      </c>
      <c r="AH34" s="15">
        <f t="shared" si="46"/>
        <v>0</v>
      </c>
      <c r="AI34" s="15">
        <f t="shared" si="46"/>
        <v>0</v>
      </c>
      <c r="AJ34" s="15">
        <f t="shared" si="46"/>
        <v>0</v>
      </c>
      <c r="AK34" s="15">
        <f t="shared" si="46"/>
        <v>0</v>
      </c>
    </row>
    <row r="35" spans="1:37" ht="15" thickBot="1" x14ac:dyDescent="0.35">
      <c r="A35" s="95" t="s">
        <v>19</v>
      </c>
      <c r="B35" s="96" t="s">
        <v>30</v>
      </c>
      <c r="C35" s="11">
        <f>Calculate!C13</f>
        <v>0</v>
      </c>
      <c r="D35" s="11">
        <f>Calculate!D13</f>
        <v>0</v>
      </c>
      <c r="E35" s="11">
        <f>Calculate!E13</f>
        <v>0</v>
      </c>
      <c r="F35" s="11">
        <f>Calculate!F13</f>
        <v>2</v>
      </c>
      <c r="G35" s="11">
        <f>Calculate!G13</f>
        <v>0</v>
      </c>
      <c r="H35" s="11">
        <f>Calculate!H13</f>
        <v>13</v>
      </c>
      <c r="I35" s="11">
        <f>Calculate!I13</f>
        <v>11</v>
      </c>
      <c r="J35" s="11">
        <f>Calculate!J13</f>
        <v>15</v>
      </c>
      <c r="K35" s="11">
        <f>Calculate!K13</f>
        <v>5</v>
      </c>
      <c r="L35" s="11">
        <f>Calculate!L13</f>
        <v>0</v>
      </c>
      <c r="M35" s="11">
        <f>Calculate!M13</f>
        <v>0</v>
      </c>
      <c r="N35" s="11">
        <f>Calculate!N13</f>
        <v>0</v>
      </c>
      <c r="O35" s="11">
        <f>Calculate!O13</f>
        <v>0</v>
      </c>
      <c r="P35" s="11">
        <f>Calculate!P13</f>
        <v>0</v>
      </c>
      <c r="Q35" s="11">
        <f>Calculate!Q13</f>
        <v>0</v>
      </c>
      <c r="R35" s="11">
        <f>Calculate!R13</f>
        <v>0</v>
      </c>
    </row>
    <row r="36" spans="1:37" ht="15" thickBot="1" x14ac:dyDescent="0.35">
      <c r="C36" s="15">
        <f t="shared" ref="C36:R36" si="47">SUM(C30:C35)</f>
        <v>2</v>
      </c>
      <c r="D36" s="15">
        <f t="shared" si="47"/>
        <v>7</v>
      </c>
      <c r="E36" s="15">
        <f t="shared" si="47"/>
        <v>11</v>
      </c>
      <c r="F36" s="15">
        <f t="shared" si="47"/>
        <v>6</v>
      </c>
      <c r="G36" s="15">
        <f t="shared" si="47"/>
        <v>2</v>
      </c>
      <c r="H36" s="15">
        <f t="shared" si="47"/>
        <v>44</v>
      </c>
      <c r="I36" s="15">
        <f t="shared" si="47"/>
        <v>69</v>
      </c>
      <c r="J36" s="15">
        <f t="shared" si="47"/>
        <v>56</v>
      </c>
      <c r="K36" s="15">
        <f t="shared" si="47"/>
        <v>48</v>
      </c>
      <c r="L36" s="15">
        <f t="shared" si="47"/>
        <v>0</v>
      </c>
      <c r="M36" s="15">
        <f t="shared" si="47"/>
        <v>0</v>
      </c>
      <c r="N36" s="15">
        <f t="shared" si="47"/>
        <v>0</v>
      </c>
      <c r="O36" s="15">
        <f t="shared" si="47"/>
        <v>0</v>
      </c>
      <c r="P36" s="15">
        <f t="shared" si="47"/>
        <v>0</v>
      </c>
      <c r="Q36" s="15">
        <f t="shared" si="47"/>
        <v>0</v>
      </c>
      <c r="R36" s="15">
        <f t="shared" si="47"/>
        <v>0</v>
      </c>
    </row>
    <row r="38" spans="1:37" ht="15" thickBot="1" x14ac:dyDescent="0.35">
      <c r="A38" t="s">
        <v>34</v>
      </c>
    </row>
    <row r="39" spans="1:37" ht="15" thickBot="1" x14ac:dyDescent="0.35">
      <c r="A39" s="90" t="s">
        <v>26</v>
      </c>
      <c r="B39" s="91"/>
      <c r="C39" s="10">
        <v>2016</v>
      </c>
      <c r="D39" s="10">
        <f>C39+1</f>
        <v>2017</v>
      </c>
      <c r="E39" s="10">
        <f>D39+1</f>
        <v>2018</v>
      </c>
    </row>
    <row r="40" spans="1:37" ht="15" thickBot="1" x14ac:dyDescent="0.35">
      <c r="A40" s="95" t="s">
        <v>16</v>
      </c>
      <c r="B40" s="96"/>
      <c r="C40" s="11">
        <f>[1]Information!$FS$48</f>
        <v>136</v>
      </c>
      <c r="D40" s="11">
        <f>[1]Information!$FT$48</f>
        <v>171</v>
      </c>
      <c r="E40" s="11">
        <f>[1]Information!$FU$48</f>
        <v>38</v>
      </c>
    </row>
    <row r="41" spans="1:37" ht="15" thickBot="1" x14ac:dyDescent="0.35">
      <c r="A41" s="95" t="s">
        <v>17</v>
      </c>
      <c r="B41" s="96" t="s">
        <v>30</v>
      </c>
      <c r="C41" s="11">
        <f>[2]Information!$FS$48</f>
        <v>43</v>
      </c>
      <c r="D41" s="11">
        <f>[2]Information!$FT$48</f>
        <v>48</v>
      </c>
      <c r="E41" s="11">
        <f>[2]Information!$FU$48</f>
        <v>3</v>
      </c>
    </row>
    <row r="42" spans="1:37" ht="15" thickBot="1" x14ac:dyDescent="0.35">
      <c r="A42" s="95" t="s">
        <v>18</v>
      </c>
      <c r="B42" s="96" t="s">
        <v>30</v>
      </c>
      <c r="C42" s="11">
        <f>[4]Information!$FS$48</f>
        <v>0</v>
      </c>
      <c r="D42" s="11">
        <f>[4]Information!$FT$48</f>
        <v>4</v>
      </c>
      <c r="E42" s="11">
        <f>[4]Information!$FU$48</f>
        <v>2</v>
      </c>
    </row>
    <row r="43" spans="1:37" ht="15" thickBot="1" x14ac:dyDescent="0.35">
      <c r="A43" s="95" t="s">
        <v>15</v>
      </c>
      <c r="B43" s="96" t="s">
        <v>30</v>
      </c>
      <c r="C43" s="11">
        <f>[3]Information!$FS$48</f>
        <v>8</v>
      </c>
      <c r="D43" s="11">
        <f>[3]Information!$FT$48</f>
        <v>13</v>
      </c>
      <c r="E43" s="11">
        <f>[3]Information!$FU$48</f>
        <v>4</v>
      </c>
    </row>
    <row r="44" spans="1:37" ht="15" thickBot="1" x14ac:dyDescent="0.35">
      <c r="A44" s="95" t="s">
        <v>14</v>
      </c>
      <c r="B44" s="96" t="s">
        <v>30</v>
      </c>
      <c r="C44" s="11">
        <f>[5]Information!$FS$48</f>
        <v>30</v>
      </c>
      <c r="D44" s="11">
        <f>[5]Information!$FT$48</f>
        <v>31</v>
      </c>
      <c r="E44" s="11">
        <f>[5]Information!$FU$48</f>
        <v>7</v>
      </c>
    </row>
    <row r="45" spans="1:37" ht="15" thickBot="1" x14ac:dyDescent="0.35">
      <c r="A45" s="95" t="s">
        <v>19</v>
      </c>
      <c r="B45" s="96" t="s">
        <v>30</v>
      </c>
      <c r="C45" s="11">
        <f>[6]Information!$FS$48</f>
        <v>18</v>
      </c>
      <c r="D45" s="11">
        <f>[6]Information!$FT$48</f>
        <v>46</v>
      </c>
      <c r="E45" s="11">
        <f>[6]Information!$FU$48</f>
        <v>13</v>
      </c>
    </row>
    <row r="65" spans="1:18" ht="15" thickBot="1" x14ac:dyDescent="0.35">
      <c r="A65" t="s">
        <v>35</v>
      </c>
    </row>
    <row r="66" spans="1:18" ht="15" thickBot="1" x14ac:dyDescent="0.35">
      <c r="A66" s="90" t="s">
        <v>26</v>
      </c>
      <c r="B66" s="91"/>
      <c r="C66" s="10">
        <v>2010</v>
      </c>
      <c r="D66" s="10">
        <f>C66+1</f>
        <v>2011</v>
      </c>
      <c r="E66" s="10">
        <f t="shared" ref="E66:J66" si="48">D66+1</f>
        <v>2012</v>
      </c>
      <c r="F66" s="10">
        <f t="shared" si="48"/>
        <v>2013</v>
      </c>
      <c r="G66" s="10">
        <f t="shared" si="48"/>
        <v>2014</v>
      </c>
      <c r="H66" s="10">
        <f t="shared" si="48"/>
        <v>2015</v>
      </c>
      <c r="I66" s="10">
        <f t="shared" si="48"/>
        <v>2016</v>
      </c>
      <c r="J66" s="10">
        <f t="shared" si="48"/>
        <v>2017</v>
      </c>
      <c r="K66" s="10">
        <f t="shared" ref="K66:R66" si="49">J66+1</f>
        <v>2018</v>
      </c>
      <c r="L66" s="10">
        <f t="shared" si="49"/>
        <v>2019</v>
      </c>
      <c r="M66" s="10">
        <f t="shared" si="49"/>
        <v>2020</v>
      </c>
      <c r="N66" s="10">
        <f t="shared" si="49"/>
        <v>2021</v>
      </c>
      <c r="O66" s="10">
        <f t="shared" si="49"/>
        <v>2022</v>
      </c>
      <c r="P66" s="10">
        <f t="shared" si="49"/>
        <v>2023</v>
      </c>
      <c r="Q66" s="10">
        <f t="shared" si="49"/>
        <v>2024</v>
      </c>
      <c r="R66" s="10">
        <f t="shared" si="49"/>
        <v>2025</v>
      </c>
    </row>
    <row r="67" spans="1:18" ht="15" thickBot="1" x14ac:dyDescent="0.35">
      <c r="A67" s="95" t="s">
        <v>16</v>
      </c>
      <c r="B67" s="96"/>
      <c r="C67" s="11">
        <f>SUM([1]Information!$G$18:$J$18)</f>
        <v>1</v>
      </c>
      <c r="D67" s="11">
        <f>SUM([1]Information!$G$19:$J$19)</f>
        <v>1</v>
      </c>
      <c r="E67" s="11">
        <f>SUM([1]Information!$G$20:$J$20)</f>
        <v>5</v>
      </c>
      <c r="F67" s="11">
        <f>SUM([1]Information!$G$21:$J$21)</f>
        <v>4</v>
      </c>
      <c r="G67" s="11">
        <f>SUM([1]Information!$G$22:$J$22)</f>
        <v>1</v>
      </c>
      <c r="H67" s="11">
        <f>SUM([1]Information!$G$23:$J$23)</f>
        <v>2</v>
      </c>
      <c r="I67" s="11">
        <f>SUM([1]Information!$G$24:$J$24)</f>
        <v>19</v>
      </c>
      <c r="J67" s="11">
        <f>SUM([1]Information!$G$25:$J$25)</f>
        <v>37</v>
      </c>
      <c r="K67" s="11">
        <f>SUM([1]Information!$G$26:$J$26)</f>
        <v>32</v>
      </c>
      <c r="L67" s="11">
        <f>SUM([1]Information!$G$27:$J$27)</f>
        <v>0</v>
      </c>
      <c r="M67" s="11">
        <f>SUM([1]Information!$G$28:$J$28)</f>
        <v>0</v>
      </c>
      <c r="N67" s="11">
        <f>SUM([1]Information!$G$29:$J$29)</f>
        <v>0</v>
      </c>
      <c r="O67" s="11">
        <f>SUM([1]Information!$G$30:$J$30)</f>
        <v>0</v>
      </c>
      <c r="P67" s="11">
        <f>SUM([1]Information!$G$31:$J$31)</f>
        <v>0</v>
      </c>
      <c r="Q67" s="11">
        <f>SUM([1]Information!$G$32:$J$32)</f>
        <v>0</v>
      </c>
      <c r="R67" s="11">
        <f>SUM([1]Information!$G$33:$J$33)</f>
        <v>0</v>
      </c>
    </row>
    <row r="68" spans="1:18" ht="15" thickBot="1" x14ac:dyDescent="0.35">
      <c r="A68" s="95" t="s">
        <v>17</v>
      </c>
      <c r="B68" s="96" t="s">
        <v>30</v>
      </c>
      <c r="C68" s="11">
        <f>SUM([2]Information!$G$18:$J$18)</f>
        <v>0</v>
      </c>
      <c r="D68" s="11">
        <f>SUM([2]Information!$G$19:$J$19)</f>
        <v>5</v>
      </c>
      <c r="E68" s="11">
        <f>SUM([2]Information!$G$20:$J$20)</f>
        <v>5</v>
      </c>
      <c r="F68" s="11">
        <f>SUM([2]Information!$G$21:$J$21)</f>
        <v>1</v>
      </c>
      <c r="G68" s="11">
        <f>SUM([2]Information!$G$22:$J$22)</f>
        <v>0</v>
      </c>
      <c r="H68" s="11">
        <f>SUM([2]Information!$G$23:$J$23)</f>
        <v>0</v>
      </c>
      <c r="I68" s="11">
        <f>SUM([2]Information!$G$24:$J$24)</f>
        <v>5</v>
      </c>
      <c r="J68" s="11">
        <f>SUM([2]Information!$G$25:$J$25)</f>
        <v>2</v>
      </c>
      <c r="K68" s="11">
        <f>SUM([2]Information!$G$26:$J$26)</f>
        <v>10</v>
      </c>
      <c r="L68" s="11">
        <f>SUM([2]Information!$G$27:$J$27)</f>
        <v>0</v>
      </c>
      <c r="M68" s="11">
        <f>SUM([2]Information!$G$28:$J$28)</f>
        <v>0</v>
      </c>
      <c r="N68" s="11">
        <f>SUM([2]Information!$G$29:$J$29)</f>
        <v>0</v>
      </c>
      <c r="O68" s="11">
        <f>SUM([2]Information!$G$30:$J$30)</f>
        <v>0</v>
      </c>
      <c r="P68" s="11">
        <f>SUM([2]Information!$G$31:$J$31)</f>
        <v>0</v>
      </c>
      <c r="Q68" s="11">
        <f>SUM([2]Information!$G$32:$J$32)</f>
        <v>0</v>
      </c>
      <c r="R68" s="11">
        <f>SUM([2]Information!$G$33:$J$33)</f>
        <v>0</v>
      </c>
    </row>
    <row r="69" spans="1:18" ht="15" thickBot="1" x14ac:dyDescent="0.35">
      <c r="A69" s="95" t="s">
        <v>18</v>
      </c>
      <c r="B69" s="96" t="s">
        <v>30</v>
      </c>
      <c r="C69" s="11">
        <f>SUM([4]Information!$G$18:$J$18)</f>
        <v>1</v>
      </c>
      <c r="D69" s="11">
        <f>SUM([4]Information!$G$19:$J$19)</f>
        <v>2</v>
      </c>
      <c r="E69" s="11">
        <f>SUM([4]Information!$G$20:$J$20)</f>
        <v>3</v>
      </c>
      <c r="F69" s="11">
        <f>SUM([4]Information!$G$21:$J$21)</f>
        <v>0</v>
      </c>
      <c r="G69" s="11">
        <f>SUM([4]Information!$G$22:$J$22)</f>
        <v>0</v>
      </c>
      <c r="H69" s="11">
        <f>SUM([4]Information!$G$23:$J$23)</f>
        <v>0</v>
      </c>
      <c r="I69" s="11">
        <f>SUM([4]Information!$G$24:$J$24)</f>
        <v>0</v>
      </c>
      <c r="J69" s="11">
        <f>SUM([4]Information!$G$25:$J$25)</f>
        <v>3</v>
      </c>
      <c r="K69" s="11">
        <f>SUM([4]Information!$G$26:$J$26)</f>
        <v>0</v>
      </c>
      <c r="L69" s="11">
        <f>SUM([4]Information!$G$27:$J$27)</f>
        <v>0</v>
      </c>
      <c r="M69" s="11">
        <f>SUM([4]Information!$G$28:$J$28)</f>
        <v>0</v>
      </c>
      <c r="N69" s="11">
        <f>SUM([4]Information!$G$29:$J$29)</f>
        <v>0</v>
      </c>
      <c r="O69" s="11">
        <f>SUM([4]Information!$G$30:$J$30)</f>
        <v>0</v>
      </c>
      <c r="P69" s="11">
        <f>SUM([4]Information!$G$31:$J$31)</f>
        <v>0</v>
      </c>
      <c r="Q69" s="11">
        <f>SUM([4]Information!$G$32:$J$32)</f>
        <v>0</v>
      </c>
      <c r="R69" s="11">
        <f>SUM([4]Information!$G$33:$J$33)</f>
        <v>0</v>
      </c>
    </row>
    <row r="70" spans="1:18" ht="15" thickBot="1" x14ac:dyDescent="0.35">
      <c r="A70" s="95" t="s">
        <v>15</v>
      </c>
      <c r="B70" s="96" t="s">
        <v>30</v>
      </c>
      <c r="C70" s="11">
        <f>SUM([3]Information!$G$18:$J$18)</f>
        <v>0</v>
      </c>
      <c r="D70" s="11">
        <f>SUM([3]Information!$G$19:$J$19)</f>
        <v>0</v>
      </c>
      <c r="E70" s="11">
        <f>SUM([3]Information!$G$20:$J$20)</f>
        <v>0</v>
      </c>
      <c r="F70" s="11">
        <f>SUM([3]Information!$G$21:$J$21)</f>
        <v>0</v>
      </c>
      <c r="G70" s="11">
        <f>SUM([3]Information!$G$22:$J$22)</f>
        <v>0</v>
      </c>
      <c r="H70" s="11">
        <f>SUM([3]Information!$G$23:$J$23)</f>
        <v>30</v>
      </c>
      <c r="I70" s="11">
        <f>SUM([3]Information!$G$24:$J$24)</f>
        <v>36</v>
      </c>
      <c r="J70" s="11">
        <f>SUM([3]Information!$G$25:$J$25)</f>
        <v>0</v>
      </c>
      <c r="K70" s="11">
        <f>SUM([3]Information!$G$26:$J$26)</f>
        <v>0</v>
      </c>
      <c r="L70" s="11">
        <f>SUM([3]Information!$G$27:$J$27)</f>
        <v>0</v>
      </c>
      <c r="M70" s="11">
        <f>SUM([3]Information!$G$28:$J$28)</f>
        <v>0</v>
      </c>
      <c r="N70" s="11">
        <f>SUM([3]Information!$G$29:$J$29)</f>
        <v>0</v>
      </c>
      <c r="O70" s="11">
        <f>SUM([3]Information!$G$30:$J$30)</f>
        <v>0</v>
      </c>
      <c r="P70" s="11">
        <f>SUM([3]Information!$G$31:$J$31)</f>
        <v>0</v>
      </c>
      <c r="Q70" s="11">
        <f>SUM([3]Information!$G$32:$J$32)</f>
        <v>0</v>
      </c>
      <c r="R70" s="11">
        <f>SUM([3]Information!$G$33:$J$33)</f>
        <v>0</v>
      </c>
    </row>
    <row r="71" spans="1:18" ht="15" thickBot="1" x14ac:dyDescent="0.35">
      <c r="A71" s="95" t="s">
        <v>14</v>
      </c>
      <c r="B71" s="96" t="s">
        <v>30</v>
      </c>
      <c r="C71" s="11">
        <f>SUM([5]Information!$G$18:$J$18)</f>
        <v>0</v>
      </c>
      <c r="D71" s="11">
        <f>SUM([5]Information!$G$19:$J$19)</f>
        <v>0</v>
      </c>
      <c r="E71" s="11">
        <f>SUM([5]Information!$G$20:$J$20)</f>
        <v>0</v>
      </c>
      <c r="F71" s="11">
        <f>SUM([5]Information!$G$21:$J$21)</f>
        <v>0</v>
      </c>
      <c r="G71" s="11">
        <f>SUM([5]Information!$G$22:$J$22)</f>
        <v>0</v>
      </c>
      <c r="H71" s="11">
        <f>SUM([5]Information!$G$23:$J$23)</f>
        <v>0</v>
      </c>
      <c r="I71" s="11">
        <f>SUM([5]Information!$G$24:$J$24)</f>
        <v>2</v>
      </c>
      <c r="J71" s="11">
        <f>SUM([5]Information!$G$25:$J$25)</f>
        <v>1</v>
      </c>
      <c r="K71" s="11">
        <f>SUM([5]Information!$G$26:$J$26)</f>
        <v>3</v>
      </c>
      <c r="L71" s="11">
        <f>SUM([5]Information!$G$27:$J$27)</f>
        <v>0</v>
      </c>
      <c r="M71" s="11">
        <f>SUM([5]Information!$G$28:$J$28)</f>
        <v>0</v>
      </c>
      <c r="N71" s="11">
        <f>SUM([5]Information!$G$29:$J$29)</f>
        <v>0</v>
      </c>
      <c r="O71" s="11">
        <f>SUM([5]Information!$G$30:$J$30)</f>
        <v>0</v>
      </c>
      <c r="P71" s="11">
        <f>SUM([5]Information!$G$31:$J$31)</f>
        <v>0</v>
      </c>
      <c r="Q71" s="11">
        <f>SUM([5]Information!$G$32:$J$32)</f>
        <v>0</v>
      </c>
      <c r="R71" s="11">
        <f>SUM([5]Information!$G$33:$J$33)</f>
        <v>0</v>
      </c>
    </row>
    <row r="72" spans="1:18" ht="15" thickBot="1" x14ac:dyDescent="0.35">
      <c r="A72" s="95" t="s">
        <v>19</v>
      </c>
      <c r="B72" s="96" t="s">
        <v>30</v>
      </c>
      <c r="C72" s="11">
        <f>SUM([6]Information!$G$18:$J$18)</f>
        <v>0</v>
      </c>
      <c r="D72" s="11">
        <f>SUM([6]Information!$G$19:$J$19)</f>
        <v>2</v>
      </c>
      <c r="E72" s="11">
        <f>SUM([6]Information!$G$20:$J$20)</f>
        <v>1</v>
      </c>
      <c r="F72" s="11">
        <f>SUM([6]Information!$G$21:$J$21)</f>
        <v>3</v>
      </c>
      <c r="G72" s="11">
        <f>SUM([6]Information!$G$22:$J$22)</f>
        <v>0</v>
      </c>
      <c r="H72" s="11">
        <f>SUM([6]Information!$G$23:$J$23)</f>
        <v>13</v>
      </c>
      <c r="I72" s="11">
        <f>SUM([6]Information!$G$24:$J$24)</f>
        <v>11</v>
      </c>
      <c r="J72" s="11">
        <f>SUM([6]Information!$G$25:$J$25)</f>
        <v>17</v>
      </c>
      <c r="K72" s="11">
        <f>SUM([6]Information!$G$26:$J$26)</f>
        <v>6</v>
      </c>
      <c r="L72" s="11">
        <f>SUM([6]Information!$G$27:$J$27)</f>
        <v>0</v>
      </c>
      <c r="M72" s="11">
        <f>SUM([6]Information!$G$28:$J$28)</f>
        <v>0</v>
      </c>
      <c r="N72" s="11">
        <f>SUM([6]Information!$G$29:$J$29)</f>
        <v>0</v>
      </c>
      <c r="O72" s="11">
        <f>SUM([6]Information!$G$30:$J$30)</f>
        <v>0</v>
      </c>
      <c r="P72" s="11">
        <f>SUM([6]Information!$G$31:$J$31)</f>
        <v>0</v>
      </c>
      <c r="Q72" s="11">
        <f>SUM([6]Information!$G$32:$J$32)</f>
        <v>0</v>
      </c>
      <c r="R72" s="11">
        <f>SUM([6]Information!$G$33:$J$33)</f>
        <v>0</v>
      </c>
    </row>
    <row r="73" spans="1:18" ht="15" thickBot="1" x14ac:dyDescent="0.35">
      <c r="C73" s="15">
        <f t="shared" ref="C73:R73" si="50">SUM(C67:C72)</f>
        <v>2</v>
      </c>
      <c r="D73" s="15">
        <f t="shared" si="50"/>
        <v>10</v>
      </c>
      <c r="E73" s="15">
        <f t="shared" si="50"/>
        <v>14</v>
      </c>
      <c r="F73" s="15">
        <f t="shared" si="50"/>
        <v>8</v>
      </c>
      <c r="G73" s="15">
        <f t="shared" si="50"/>
        <v>1</v>
      </c>
      <c r="H73" s="15">
        <f t="shared" si="50"/>
        <v>45</v>
      </c>
      <c r="I73" s="15">
        <f t="shared" si="50"/>
        <v>73</v>
      </c>
      <c r="J73" s="15">
        <f t="shared" si="50"/>
        <v>60</v>
      </c>
      <c r="K73" s="15">
        <f t="shared" si="50"/>
        <v>51</v>
      </c>
      <c r="L73" s="15">
        <f t="shared" si="50"/>
        <v>0</v>
      </c>
      <c r="M73" s="15">
        <f t="shared" si="50"/>
        <v>0</v>
      </c>
      <c r="N73" s="15">
        <f t="shared" si="50"/>
        <v>0</v>
      </c>
      <c r="O73" s="15">
        <f t="shared" si="50"/>
        <v>0</v>
      </c>
      <c r="P73" s="15">
        <f t="shared" si="50"/>
        <v>0</v>
      </c>
      <c r="Q73" s="15">
        <f t="shared" si="50"/>
        <v>0</v>
      </c>
      <c r="R73" s="15">
        <f t="shared" si="50"/>
        <v>0</v>
      </c>
    </row>
    <row r="76" spans="1:18" ht="15" thickBot="1" x14ac:dyDescent="0.35"/>
    <row r="77" spans="1:18" ht="15" thickBot="1" x14ac:dyDescent="0.35">
      <c r="A77" s="90"/>
      <c r="B77" s="91"/>
      <c r="C77" s="17" t="s">
        <v>26</v>
      </c>
      <c r="D77" s="18" t="s">
        <v>36</v>
      </c>
      <c r="E77" s="18" t="s">
        <v>17</v>
      </c>
      <c r="F77" s="18" t="s">
        <v>37</v>
      </c>
      <c r="G77" s="18" t="s">
        <v>15</v>
      </c>
      <c r="H77" s="18" t="s">
        <v>14</v>
      </c>
      <c r="I77" s="18" t="s">
        <v>38</v>
      </c>
    </row>
    <row r="78" spans="1:18" ht="15" thickBot="1" x14ac:dyDescent="0.35">
      <c r="A78" s="19" t="s">
        <v>39</v>
      </c>
      <c r="B78" s="20"/>
      <c r="C78" s="11">
        <f>SUM(D78:I78)</f>
        <v>191</v>
      </c>
      <c r="D78" s="18">
        <f>[1]Information!$G$5</f>
        <v>65</v>
      </c>
      <c r="E78" s="18">
        <f>[2]Information!$G$5</f>
        <v>11</v>
      </c>
      <c r="F78" s="18">
        <f>[4]Information!$G$5</f>
        <v>8</v>
      </c>
      <c r="G78" s="18">
        <f>[3]Information!$G$5</f>
        <v>66</v>
      </c>
      <c r="H78" s="18">
        <f>[5]Information!$G$5</f>
        <v>5</v>
      </c>
      <c r="I78" s="18">
        <f>[6]Information!$G$5</f>
        <v>36</v>
      </c>
    </row>
    <row r="79" spans="1:18" ht="15" thickBot="1" x14ac:dyDescent="0.35">
      <c r="A79" s="19" t="s">
        <v>40</v>
      </c>
      <c r="B79" s="20"/>
      <c r="C79" s="11">
        <f>SUM(D79:I79)</f>
        <v>64</v>
      </c>
      <c r="D79" s="18">
        <f>[1]Information!$H$5</f>
        <v>33</v>
      </c>
      <c r="E79" s="18">
        <f>[2]Information!$H$5</f>
        <v>16</v>
      </c>
      <c r="F79" s="18">
        <f>[4]Information!$H$5</f>
        <v>0</v>
      </c>
      <c r="G79" s="18">
        <f>[3]Information!$H$5</f>
        <v>0</v>
      </c>
      <c r="H79" s="18">
        <f>[5]Information!$H$5</f>
        <v>0</v>
      </c>
      <c r="I79" s="18">
        <f>[6]Information!$H$5</f>
        <v>15</v>
      </c>
    </row>
    <row r="80" spans="1:18" ht="15" thickBot="1" x14ac:dyDescent="0.35">
      <c r="A80" s="19" t="s">
        <v>41</v>
      </c>
      <c r="B80" s="20"/>
      <c r="C80" s="11">
        <f>SUM(D80:I80)</f>
        <v>3</v>
      </c>
      <c r="D80" s="18">
        <f>[1]Information!$I$5</f>
        <v>2</v>
      </c>
      <c r="E80" s="18">
        <f>[2]Information!$I$5</f>
        <v>1</v>
      </c>
      <c r="F80" s="18">
        <f>[4]Information!$I$5</f>
        <v>0</v>
      </c>
      <c r="G80" s="18">
        <f>[3]Information!$I$5</f>
        <v>0</v>
      </c>
      <c r="H80" s="18">
        <f>[5]Information!$I$5</f>
        <v>0</v>
      </c>
      <c r="I80" s="18">
        <f>[6]Information!$I$5</f>
        <v>0</v>
      </c>
    </row>
    <row r="81" spans="1:18" ht="15" thickBot="1" x14ac:dyDescent="0.35">
      <c r="A81" s="19" t="s">
        <v>42</v>
      </c>
      <c r="B81" s="20"/>
      <c r="C81" s="16">
        <f>SUM(D81:I81)</f>
        <v>6</v>
      </c>
      <c r="D81" s="18">
        <f>[1]Information!$J$5</f>
        <v>2</v>
      </c>
      <c r="E81" s="18">
        <f>[2]Information!$J$5</f>
        <v>0</v>
      </c>
      <c r="F81" s="18">
        <f>[4]Information!$J$5</f>
        <v>1</v>
      </c>
      <c r="G81" s="18">
        <f>[3]Information!$J$5</f>
        <v>0</v>
      </c>
      <c r="H81" s="18">
        <f>[5]Information!$J$5</f>
        <v>1</v>
      </c>
      <c r="I81" s="18">
        <f>[6]Information!$J$5</f>
        <v>2</v>
      </c>
    </row>
    <row r="82" spans="1:18" ht="15" thickBot="1" x14ac:dyDescent="0.35">
      <c r="C82" s="21">
        <f>SUM(C78:C81)</f>
        <v>264</v>
      </c>
    </row>
    <row r="84" spans="1:18" ht="15" thickBot="1" x14ac:dyDescent="0.35">
      <c r="A84" t="s">
        <v>178</v>
      </c>
    </row>
    <row r="85" spans="1:18" ht="15" thickBot="1" x14ac:dyDescent="0.35">
      <c r="A85" s="90" t="s">
        <v>26</v>
      </c>
      <c r="B85" s="91"/>
      <c r="C85" s="10">
        <v>2010</v>
      </c>
      <c r="D85" s="10">
        <f t="shared" ref="D85:R85" si="51">C85+1</f>
        <v>2011</v>
      </c>
      <c r="E85" s="10">
        <f t="shared" si="51"/>
        <v>2012</v>
      </c>
      <c r="F85" s="10">
        <f t="shared" si="51"/>
        <v>2013</v>
      </c>
      <c r="G85" s="10">
        <f t="shared" si="51"/>
        <v>2014</v>
      </c>
      <c r="H85" s="10">
        <f t="shared" si="51"/>
        <v>2015</v>
      </c>
      <c r="I85" s="10">
        <f t="shared" si="51"/>
        <v>2016</v>
      </c>
      <c r="J85" s="10">
        <f t="shared" si="51"/>
        <v>2017</v>
      </c>
      <c r="K85" s="10">
        <f t="shared" si="51"/>
        <v>2018</v>
      </c>
      <c r="L85" s="10">
        <f t="shared" si="51"/>
        <v>2019</v>
      </c>
      <c r="M85" s="10">
        <f t="shared" si="51"/>
        <v>2020</v>
      </c>
      <c r="N85" s="10">
        <f t="shared" si="51"/>
        <v>2021</v>
      </c>
      <c r="O85" s="10">
        <f t="shared" si="51"/>
        <v>2022</v>
      </c>
      <c r="P85" s="10">
        <f t="shared" si="51"/>
        <v>2023</v>
      </c>
      <c r="Q85" s="10">
        <f t="shared" si="51"/>
        <v>2024</v>
      </c>
      <c r="R85" s="10">
        <f t="shared" si="51"/>
        <v>2025</v>
      </c>
    </row>
    <row r="86" spans="1:18" ht="15" thickBot="1" x14ac:dyDescent="0.35">
      <c r="A86" s="95" t="s">
        <v>16</v>
      </c>
      <c r="B86" s="96"/>
      <c r="C86" s="11">
        <f>[1]Information!$J$18</f>
        <v>0</v>
      </c>
      <c r="D86" s="11">
        <f>[1]Information!$J$19</f>
        <v>0</v>
      </c>
      <c r="E86" s="11">
        <f>[1]Information!$J$20</f>
        <v>0</v>
      </c>
      <c r="F86" s="11">
        <f>[1]Information!$J$21</f>
        <v>0</v>
      </c>
      <c r="G86" s="11">
        <f>[1]Information!$J$22</f>
        <v>0</v>
      </c>
      <c r="H86" s="11">
        <f>[1]Information!$J$23</f>
        <v>0</v>
      </c>
      <c r="I86" s="11">
        <f>[1]Information!$J$24</f>
        <v>0</v>
      </c>
      <c r="J86" s="11">
        <f>[1]Information!$J$25</f>
        <v>0</v>
      </c>
      <c r="K86" s="11">
        <f>[1]Information!$J$26</f>
        <v>2</v>
      </c>
      <c r="L86" s="11">
        <f>[1]Information!$J$27</f>
        <v>0</v>
      </c>
      <c r="M86" s="11">
        <f>[1]Information!$J$28</f>
        <v>0</v>
      </c>
      <c r="N86" s="11">
        <f>[1]Information!$J$29</f>
        <v>0</v>
      </c>
      <c r="O86" s="11">
        <f>[1]Information!$J$30</f>
        <v>0</v>
      </c>
      <c r="P86" s="11">
        <f>[1]Information!$J$31</f>
        <v>0</v>
      </c>
      <c r="Q86" s="11">
        <f>[1]Information!$J$32</f>
        <v>0</v>
      </c>
      <c r="R86" s="11">
        <f>[1]Information!$J$33</f>
        <v>0</v>
      </c>
    </row>
    <row r="87" spans="1:18" ht="15" thickBot="1" x14ac:dyDescent="0.35">
      <c r="A87" s="95" t="s">
        <v>171</v>
      </c>
      <c r="B87" s="96"/>
      <c r="C87" s="11">
        <f>[2]Information!$J$18</f>
        <v>0</v>
      </c>
      <c r="D87" s="11">
        <f>[2]Information!$J$19</f>
        <v>0</v>
      </c>
      <c r="E87" s="11">
        <f>[2]Information!$J$20</f>
        <v>0</v>
      </c>
      <c r="F87" s="11">
        <f>[2]Information!$J$21</f>
        <v>0</v>
      </c>
      <c r="G87" s="11">
        <f>[2]Information!$J$22</f>
        <v>0</v>
      </c>
      <c r="H87" s="11">
        <f>[2]Information!$J$23</f>
        <v>0</v>
      </c>
      <c r="I87" s="11">
        <f>[2]Information!$J$24</f>
        <v>0</v>
      </c>
      <c r="J87" s="11">
        <f>[2]Information!$J$25</f>
        <v>0</v>
      </c>
      <c r="K87" s="11">
        <f>[2]Information!$J$26</f>
        <v>0</v>
      </c>
      <c r="L87" s="11">
        <f>[2]Information!$J$27</f>
        <v>0</v>
      </c>
      <c r="M87" s="11">
        <f>[2]Information!$J$28</f>
        <v>0</v>
      </c>
      <c r="N87" s="11">
        <f>[2]Information!$J$29</f>
        <v>0</v>
      </c>
      <c r="O87" s="11">
        <f>[2]Information!$J$30</f>
        <v>0</v>
      </c>
      <c r="P87" s="11">
        <f>[2]Information!$J$31</f>
        <v>0</v>
      </c>
      <c r="Q87" s="11">
        <f>[2]Information!$J$32</f>
        <v>0</v>
      </c>
      <c r="R87" s="11">
        <f>[2]Information!$J$33</f>
        <v>0</v>
      </c>
    </row>
    <row r="88" spans="1:18" ht="15" thickBot="1" x14ac:dyDescent="0.35">
      <c r="A88" s="95" t="s">
        <v>37</v>
      </c>
      <c r="B88" s="96"/>
      <c r="C88" s="11">
        <f>[4]Information!$J$18</f>
        <v>0</v>
      </c>
      <c r="D88" s="11">
        <f>[4]Information!$J$19</f>
        <v>0</v>
      </c>
      <c r="E88" s="11">
        <f>[4]Information!$J$20</f>
        <v>1</v>
      </c>
      <c r="F88" s="11">
        <f>[4]Information!$J$21</f>
        <v>0</v>
      </c>
      <c r="G88" s="11">
        <f>[4]Information!$J$22</f>
        <v>0</v>
      </c>
      <c r="H88" s="11">
        <f>[4]Information!$J$23</f>
        <v>0</v>
      </c>
      <c r="I88" s="11">
        <f>[4]Information!$J$24</f>
        <v>0</v>
      </c>
      <c r="J88" s="11">
        <f>[4]Information!$J$25</f>
        <v>0</v>
      </c>
      <c r="K88" s="11">
        <f>[4]Information!$J$26</f>
        <v>0</v>
      </c>
      <c r="L88" s="11">
        <f>[4]Information!$J$27</f>
        <v>0</v>
      </c>
      <c r="M88" s="11">
        <f>[4]Information!$J$28</f>
        <v>0</v>
      </c>
      <c r="N88" s="11">
        <f>[4]Information!$J$29</f>
        <v>0</v>
      </c>
      <c r="O88" s="11">
        <f>[4]Information!$J$30</f>
        <v>0</v>
      </c>
      <c r="P88" s="11">
        <f>[4]Information!$J$31</f>
        <v>0</v>
      </c>
      <c r="Q88" s="11">
        <f>[4]Information!$J$32</f>
        <v>0</v>
      </c>
      <c r="R88" s="11">
        <f>[4]Information!$J$33</f>
        <v>0</v>
      </c>
    </row>
    <row r="89" spans="1:18" ht="15" thickBot="1" x14ac:dyDescent="0.35">
      <c r="A89" s="95" t="s">
        <v>15</v>
      </c>
      <c r="B89" s="96"/>
      <c r="C89" s="11">
        <f>[3]Information!$J$18</f>
        <v>0</v>
      </c>
      <c r="D89" s="11">
        <f>[3]Information!$J$19</f>
        <v>0</v>
      </c>
      <c r="E89" s="11">
        <f>[3]Information!$J$20</f>
        <v>0</v>
      </c>
      <c r="F89" s="11">
        <f>[3]Information!$J$21</f>
        <v>0</v>
      </c>
      <c r="G89" s="11">
        <f>[3]Information!$J$22</f>
        <v>0</v>
      </c>
      <c r="H89" s="11">
        <f>[3]Information!$J$23</f>
        <v>0</v>
      </c>
      <c r="I89" s="11">
        <f>[3]Information!$J$24</f>
        <v>0</v>
      </c>
      <c r="J89" s="11">
        <f>[3]Information!$J$25</f>
        <v>0</v>
      </c>
      <c r="K89" s="11">
        <f>[3]Information!$J$26</f>
        <v>0</v>
      </c>
      <c r="L89" s="11">
        <f>[3]Information!$J$27</f>
        <v>0</v>
      </c>
      <c r="M89" s="11">
        <f>[3]Information!$J$28</f>
        <v>0</v>
      </c>
      <c r="N89" s="11">
        <f>[3]Information!$J$29</f>
        <v>0</v>
      </c>
      <c r="O89" s="11">
        <f>[3]Information!$J$30</f>
        <v>0</v>
      </c>
      <c r="P89" s="11">
        <f>[3]Information!$J$31</f>
        <v>0</v>
      </c>
      <c r="Q89" s="11">
        <f>[3]Information!$J$32</f>
        <v>0</v>
      </c>
      <c r="R89" s="11">
        <f>[3]Information!$J$33</f>
        <v>0</v>
      </c>
    </row>
    <row r="90" spans="1:18" ht="15" thickBot="1" x14ac:dyDescent="0.35">
      <c r="A90" s="95" t="s">
        <v>14</v>
      </c>
      <c r="B90" s="96"/>
      <c r="C90" s="11">
        <f>[5]Information!$J$18</f>
        <v>0</v>
      </c>
      <c r="D90" s="11">
        <f>[5]Information!$J$19</f>
        <v>0</v>
      </c>
      <c r="E90" s="11">
        <f>[5]Information!$J$20</f>
        <v>0</v>
      </c>
      <c r="F90" s="11">
        <f>[5]Information!$J$21</f>
        <v>0</v>
      </c>
      <c r="G90" s="11">
        <f>[5]Information!$J$22</f>
        <v>0</v>
      </c>
      <c r="H90" s="11">
        <f>[5]Information!$J$23</f>
        <v>0</v>
      </c>
      <c r="I90" s="11">
        <f>[5]Information!$J$24</f>
        <v>1</v>
      </c>
      <c r="J90" s="11">
        <f>[5]Information!$J$25</f>
        <v>0</v>
      </c>
      <c r="K90" s="11">
        <f>[5]Information!$J$26</f>
        <v>0</v>
      </c>
      <c r="L90" s="11">
        <f>[5]Information!$J$27</f>
        <v>0</v>
      </c>
      <c r="M90" s="11">
        <f>[5]Information!$J$28</f>
        <v>0</v>
      </c>
      <c r="N90" s="11">
        <f>[5]Information!$J$29</f>
        <v>0</v>
      </c>
      <c r="O90" s="11">
        <f>[5]Information!$J$30</f>
        <v>0</v>
      </c>
      <c r="P90" s="11">
        <f>[5]Information!$J$31</f>
        <v>0</v>
      </c>
      <c r="Q90" s="11">
        <f>[5]Information!$J$32</f>
        <v>0</v>
      </c>
      <c r="R90" s="11">
        <f>[5]Information!$J$33</f>
        <v>0</v>
      </c>
    </row>
    <row r="91" spans="1:18" ht="15" thickBot="1" x14ac:dyDescent="0.35">
      <c r="A91" s="95" t="s">
        <v>19</v>
      </c>
      <c r="B91" s="96"/>
      <c r="C91" s="11">
        <f>[6]Information!$J$18</f>
        <v>0</v>
      </c>
      <c r="D91" s="11">
        <f>[6]Information!$J$19</f>
        <v>0</v>
      </c>
      <c r="E91" s="11">
        <f>[6]Information!$J$20</f>
        <v>0</v>
      </c>
      <c r="F91" s="11">
        <f>[6]Information!$J$21</f>
        <v>0</v>
      </c>
      <c r="G91" s="11">
        <f>[6]Information!$J$22</f>
        <v>0</v>
      </c>
      <c r="H91" s="11">
        <f>[6]Information!$J$23</f>
        <v>0</v>
      </c>
      <c r="I91" s="11">
        <f>[6]Information!$J$24</f>
        <v>0</v>
      </c>
      <c r="J91" s="11">
        <f>[6]Information!$J$25</f>
        <v>1</v>
      </c>
      <c r="K91" s="11">
        <f>[6]Information!$J$26</f>
        <v>1</v>
      </c>
      <c r="L91" s="11">
        <f>[6]Information!$J$27</f>
        <v>0</v>
      </c>
      <c r="M91" s="11">
        <f>[6]Information!$J$28</f>
        <v>0</v>
      </c>
      <c r="N91" s="11">
        <f>[6]Information!$J$29</f>
        <v>0</v>
      </c>
      <c r="O91" s="11">
        <f>[6]Information!$J$30</f>
        <v>0</v>
      </c>
      <c r="P91" s="11">
        <f>[6]Information!$J$31</f>
        <v>0</v>
      </c>
      <c r="Q91" s="11">
        <f>[6]Information!$J$32</f>
        <v>0</v>
      </c>
      <c r="R91" s="11">
        <f>[6]Information!$J$33</f>
        <v>0</v>
      </c>
    </row>
  </sheetData>
  <mergeCells count="76">
    <mergeCell ref="A91:B91"/>
    <mergeCell ref="BQ1:BW1"/>
    <mergeCell ref="BQ2:BR2"/>
    <mergeCell ref="BS2:BT2"/>
    <mergeCell ref="A90:B90"/>
    <mergeCell ref="BH1:BN1"/>
    <mergeCell ref="BH2:BI2"/>
    <mergeCell ref="BJ2:BK2"/>
    <mergeCell ref="A89:B89"/>
    <mergeCell ref="AY1:BE1"/>
    <mergeCell ref="AY2:AZ2"/>
    <mergeCell ref="BA2:BB2"/>
    <mergeCell ref="AP1:AV1"/>
    <mergeCell ref="AP2:AQ2"/>
    <mergeCell ref="AR2:AS2"/>
    <mergeCell ref="A88:B88"/>
    <mergeCell ref="AG1:AM1"/>
    <mergeCell ref="AG2:AH2"/>
    <mergeCell ref="AI2:AJ2"/>
    <mergeCell ref="A87:B87"/>
    <mergeCell ref="A85:B85"/>
    <mergeCell ref="A86:B86"/>
    <mergeCell ref="X1:AD1"/>
    <mergeCell ref="X2:Y2"/>
    <mergeCell ref="Z2:AA2"/>
    <mergeCell ref="A70:B70"/>
    <mergeCell ref="A71:B71"/>
    <mergeCell ref="A72:B72"/>
    <mergeCell ref="A77:B77"/>
    <mergeCell ref="A44:B44"/>
    <mergeCell ref="A45:B45"/>
    <mergeCell ref="A66:B66"/>
    <mergeCell ref="A67:B67"/>
    <mergeCell ref="A68:B68"/>
    <mergeCell ref="A69:B69"/>
    <mergeCell ref="A43:B43"/>
    <mergeCell ref="A29:B29"/>
    <mergeCell ref="A30:B30"/>
    <mergeCell ref="A31:B31"/>
    <mergeCell ref="A32:B32"/>
    <mergeCell ref="A33:B33"/>
    <mergeCell ref="A34:B34"/>
    <mergeCell ref="A35:B35"/>
    <mergeCell ref="A39:B39"/>
    <mergeCell ref="A40:B40"/>
    <mergeCell ref="A41:B41"/>
    <mergeCell ref="A42:B42"/>
    <mergeCell ref="T33:U33"/>
    <mergeCell ref="A21:B21"/>
    <mergeCell ref="A22:B22"/>
    <mergeCell ref="A23:B23"/>
    <mergeCell ref="A10:A11"/>
    <mergeCell ref="T10:T11"/>
    <mergeCell ref="U10:U11"/>
    <mergeCell ref="A12:A13"/>
    <mergeCell ref="T12:T13"/>
    <mergeCell ref="U12:U13"/>
    <mergeCell ref="A24:B24"/>
    <mergeCell ref="A18:B18"/>
    <mergeCell ref="T31:U31"/>
    <mergeCell ref="A19:B19"/>
    <mergeCell ref="T32:U32"/>
    <mergeCell ref="A20:B20"/>
    <mergeCell ref="A6:A7"/>
    <mergeCell ref="T6:T7"/>
    <mergeCell ref="U6:U7"/>
    <mergeCell ref="A8:A9"/>
    <mergeCell ref="T8:T9"/>
    <mergeCell ref="U8:U9"/>
    <mergeCell ref="A1:B1"/>
    <mergeCell ref="A2:A3"/>
    <mergeCell ref="T2:T3"/>
    <mergeCell ref="U2:U3"/>
    <mergeCell ref="A4:A5"/>
    <mergeCell ref="T4:T5"/>
    <mergeCell ref="U4:U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Summary</vt:lpstr>
      <vt:lpstr>Fire</vt:lpstr>
      <vt:lpstr>Fire1</vt:lpstr>
      <vt:lpstr>Cargo</vt:lpstr>
      <vt:lpstr>Cargo1</vt:lpstr>
      <vt:lpstr>CPM</vt:lpstr>
      <vt:lpstr>CPM1</vt:lpstr>
      <vt:lpstr>Hull</vt:lpstr>
      <vt:lpstr>Hull1</vt:lpstr>
      <vt:lpstr>Casualty</vt:lpstr>
      <vt:lpstr>Casualty1</vt:lpstr>
      <vt:lpstr>Engineering</vt:lpstr>
      <vt:lpstr>Engineering1</vt:lpstr>
      <vt:lpstr>Ending</vt:lpstr>
      <vt:lpstr>Calculate</vt:lpstr>
      <vt:lpstr>Fire1!Print_Titles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Subari</dc:creator>
  <cp:lastModifiedBy>Ahmad Subari</cp:lastModifiedBy>
  <cp:lastPrinted>2026-07-30T08:18:52Z</cp:lastPrinted>
  <dcterms:created xsi:type="dcterms:W3CDTF">2017-10-15T04:07:02Z</dcterms:created>
  <dcterms:modified xsi:type="dcterms:W3CDTF">2026-07-30T08:27:39Z</dcterms:modified>
</cp:coreProperties>
</file>